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hidePivotFieldList="1" defaultThemeVersion="166925"/>
  <xr:revisionPtr revIDLastSave="0" documentId="8_{393403D9-03BB-467F-8496-0FFA5448FC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284" r:id="rId3"/>
    <pivotCache cacheId="28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<sst xmlns="http://schemas.openxmlformats.org/spreadsheetml/2006/main" count="94" uniqueCount="33">
  <si>
    <t>Which products generate the most revenue?</t>
  </si>
  <si>
    <t>Which products have high sales volume but low revenue?</t>
  </si>
  <si>
    <t>Product Category</t>
  </si>
  <si>
    <t>Sum of Net Revenue ($)</t>
  </si>
  <si>
    <t>Sum of Quantity</t>
  </si>
  <si>
    <t>Beauty</t>
  </si>
  <si>
    <t>Clothing</t>
  </si>
  <si>
    <t>Sports</t>
  </si>
  <si>
    <t>Electronics</t>
  </si>
  <si>
    <t>Home &amp; Kitchen</t>
  </si>
  <si>
    <t>Grand Total</t>
  </si>
  <si>
    <t>Which region performs best?</t>
  </si>
  <si>
    <t>Region</t>
  </si>
  <si>
    <t>East</t>
  </si>
  <si>
    <t>Discount (%)</t>
  </si>
  <si>
    <t>Sum of Gross Revenue ($)</t>
  </si>
  <si>
    <t>North</t>
  </si>
  <si>
    <t>South</t>
  </si>
  <si>
    <t>West</t>
  </si>
  <si>
    <t>What months have the highest sales?</t>
  </si>
  <si>
    <t>Month</t>
  </si>
  <si>
    <t>March</t>
  </si>
  <si>
    <t>February</t>
  </si>
  <si>
    <t>January</t>
  </si>
  <si>
    <t>Order Date</t>
  </si>
  <si>
    <t>Quantity</t>
  </si>
  <si>
    <t>Unit Price ($)</t>
  </si>
  <si>
    <t>Gross Revenue ($)</t>
  </si>
  <si>
    <t>Net Revenue ($)</t>
  </si>
  <si>
    <t>Customer Type</t>
  </si>
  <si>
    <t>VIP</t>
  </si>
  <si>
    <t>Member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</si>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</sst>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6.703759490738" createdVersion="8" refreshedVersion="8" minRefreshableVersion="3" recordCount="15" xr:uid="{6F8E32B5-6B29-4A91-8608-0E825F458C71}">
  <cacheSource type="worksheet">
    <worksheetSource ref="A1:J16" sheet="Sheet1"/>
  </cacheSource>
  <cacheFields count="10">
    <cacheField name="Order Date" numFmtId="14">
      <sharedItems containsSemiMixedTypes="0" containsNonDate="0" containsDate="1" containsString="0" minDate="2025-01-02T00:00:00" maxDate="2025-03-30T00:00:00" count="14">
        <d v="2025-01-02T00:00:00"/>
        <d v="2025-01-14T00:00:00"/>
        <d v="2025-01-15T00:00:00"/>
        <d v="2025-01-21T00:00:00"/>
        <d v="2025-01-22T00:00:00"/>
        <d v="2025-02-04T00:00:00"/>
        <d v="2025-02-10T00:00:00"/>
        <d v="2025-02-22T00:00:00"/>
        <d v="2025-02-28T00:00:00"/>
        <d v="2025-03-04T00:00:00"/>
        <d v="2025-03-06T00:00:00"/>
        <d v="2025-03-13T00:00:00"/>
        <d v="2025-03-22T00:00:00"/>
        <d v="2025-03-29T00:00:00"/>
      </sharedItems>
    </cacheField>
    <cacheField name="Month" numFmtId="14">
      <sharedItems count="3">
        <s v="January"/>
        <s v="February"/>
        <s v="March"/>
      </sharedItems>
    </cacheField>
    <cacheField name="Product Category" numFmtId="0">
      <sharedItems count="5">
        <s v="Electronics"/>
        <s v="Home &amp; Kitchen"/>
        <s v="Clothing"/>
        <s v="Beauty"/>
        <s v="Sports"/>
      </sharedItems>
    </cacheField>
    <cacheField name="Region" numFmtId="0">
      <sharedItems count="4">
        <s v="West"/>
        <s v="North"/>
        <s v="East"/>
        <s v="South"/>
      </sharedItems>
    </cacheField>
    <cacheField name="Quantity" numFmtId="0">
      <sharedItems containsSemiMixedTypes="0" containsString="0" containsNumber="1" containsInteger="1" minValue="1" maxValue="5"/>
    </cacheField>
    <cacheField name="Unit Price ($)" numFmtId="0">
      <sharedItems containsSemiMixedTypes="0" containsString="0" containsNumber="1" minValue="29.72" maxValue="342.21"/>
    </cacheField>
    <cacheField name="Discount (%)" numFmtId="9">
      <sharedItems containsSemiMixedTypes="0" containsString="0" containsNumber="1" minValue="0" maxValue="0.2" count="4">
        <n v="0.15"/>
        <n v="0"/>
        <n v="0.05"/>
        <n v="0.2"/>
      </sharedItems>
    </cacheField>
    <cacheField name="Gross Revenue ($)" numFmtId="0">
      <sharedItems containsSemiMixedTypes="0" containsString="0" containsNumber="1" minValue="66.900000000000006" maxValue="745.77"/>
    </cacheField>
    <cacheField name="Net Revenue ($)" numFmtId="0">
      <sharedItems containsSemiMixedTypes="0" containsString="0" containsNumber="1" minValue="63.56" maxValue="745.77"/>
    </cacheField>
    <cacheField name="Customer Type" numFmtId="0">
      <sharedItems/>
    </cacheField>
  </cacheFields>
  <extLst>
    <ext xmlns:x14="http://schemas.microsoft.com/office/spreadsheetml/2009/9/main" uri="{725AE2AE-9491-48be-B2B4-4EB974FC3084}">
      <x14:pivotCacheDefinition pivotCacheId="109621360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6.703759490738" createdVersion="8" refreshedVersion="8" minRefreshableVersion="3" recordCount="38" xr:uid="{291A41BB-7EDE-43A9-94D4-38C7EF20FB26}">
  <cacheSource type="worksheet">
    <worksheetSource ref="A1:J1048576" sheet="Sheet1"/>
  </cacheSource>
  <cacheFields count="10">
    <cacheField name="Order Date" numFmtId="0">
      <sharedItems containsNonDate="0" containsDate="1" containsString="0" containsBlank="1" minDate="2025-01-02T00:00:00" maxDate="2025-03-30T00:00:00"/>
    </cacheField>
    <cacheField name="Month" numFmtId="0">
      <sharedItems containsBlank="1"/>
    </cacheField>
    <cacheField name="Product Category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 Price ($)" numFmtId="0">
      <sharedItems containsString="0" containsBlank="1" containsNumber="1" minValue="29.72" maxValue="342.21"/>
    </cacheField>
    <cacheField name="Discount (%)" numFmtId="0">
      <sharedItems containsString="0" containsBlank="1" containsNumber="1" minValue="0" maxValue="0.2"/>
    </cacheField>
    <cacheField name="Gross Revenue ($)" numFmtId="0">
      <sharedItems containsString="0" containsBlank="1" containsNumber="1" minValue="66.900000000000006" maxValue="745.77"/>
    </cacheField>
    <cacheField name="Net Revenue ($)" numFmtId="0">
      <sharedItems containsString="0" containsBlank="1" containsNumber="1" minValue="63.56" maxValue="745.77"/>
    </cacheField>
    <cacheField name="Customer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n v="1"/>
    <n v="149.88999999999999"/>
    <x v="0"/>
    <n v="149.88999999999999"/>
    <n v="127.41"/>
    <s v="VIP"/>
  </r>
  <r>
    <x v="1"/>
    <x v="0"/>
    <x v="1"/>
    <x v="1"/>
    <n v="1"/>
    <n v="210.69"/>
    <x v="1"/>
    <n v="210.69"/>
    <n v="210.69"/>
    <s v="Member"/>
  </r>
  <r>
    <x v="2"/>
    <x v="0"/>
    <x v="2"/>
    <x v="0"/>
    <n v="2"/>
    <n v="92.39"/>
    <x v="0"/>
    <n v="184.78"/>
    <n v="157.06"/>
    <s v="Member"/>
  </r>
  <r>
    <x v="3"/>
    <x v="0"/>
    <x v="3"/>
    <x v="2"/>
    <n v="1"/>
    <n v="66.900000000000006"/>
    <x v="2"/>
    <n v="66.900000000000006"/>
    <n v="63.56"/>
    <s v="Regular"/>
  </r>
  <r>
    <x v="3"/>
    <x v="0"/>
    <x v="2"/>
    <x v="1"/>
    <n v="5"/>
    <n v="29.72"/>
    <x v="1"/>
    <n v="148.6"/>
    <n v="148.6"/>
    <s v="VIP"/>
  </r>
  <r>
    <x v="4"/>
    <x v="0"/>
    <x v="0"/>
    <x v="1"/>
    <n v="1"/>
    <n v="342.21"/>
    <x v="1"/>
    <n v="342.21"/>
    <n v="342.21"/>
    <s v="Member"/>
  </r>
  <r>
    <x v="5"/>
    <x v="1"/>
    <x v="0"/>
    <x v="1"/>
    <n v="1"/>
    <n v="130.07"/>
    <x v="1"/>
    <n v="130.07"/>
    <n v="130.07"/>
    <s v="Regular"/>
  </r>
  <r>
    <x v="6"/>
    <x v="1"/>
    <x v="2"/>
    <x v="3"/>
    <n v="3"/>
    <n v="48.34"/>
    <x v="1"/>
    <n v="145.02000000000001"/>
    <n v="145.02000000000001"/>
    <s v="Regular"/>
  </r>
  <r>
    <x v="7"/>
    <x v="1"/>
    <x v="1"/>
    <x v="0"/>
    <n v="3"/>
    <n v="248.59"/>
    <x v="1"/>
    <n v="745.77"/>
    <n v="745.77"/>
    <s v="VIP"/>
  </r>
  <r>
    <x v="8"/>
    <x v="1"/>
    <x v="4"/>
    <x v="3"/>
    <n v="1"/>
    <n v="125.9"/>
    <x v="1"/>
    <n v="125.9"/>
    <n v="125.9"/>
    <s v="Member"/>
  </r>
  <r>
    <x v="9"/>
    <x v="2"/>
    <x v="3"/>
    <x v="2"/>
    <n v="3"/>
    <n v="50.93"/>
    <x v="1"/>
    <n v="152.79"/>
    <n v="152.79"/>
    <s v="Member"/>
  </r>
  <r>
    <x v="10"/>
    <x v="2"/>
    <x v="3"/>
    <x v="1"/>
    <n v="4"/>
    <n v="76.47"/>
    <x v="1"/>
    <n v="305.88"/>
    <n v="305.88"/>
    <s v="Member"/>
  </r>
  <r>
    <x v="11"/>
    <x v="2"/>
    <x v="0"/>
    <x v="1"/>
    <n v="1"/>
    <n v="123.38"/>
    <x v="1"/>
    <n v="123.38"/>
    <n v="123.38"/>
    <s v="Regular"/>
  </r>
  <r>
    <x v="12"/>
    <x v="2"/>
    <x v="1"/>
    <x v="1"/>
    <n v="5"/>
    <n v="94.46"/>
    <x v="3"/>
    <n v="472.3"/>
    <n v="377.84"/>
    <s v="Member"/>
  </r>
  <r>
    <x v="13"/>
    <x v="2"/>
    <x v="4"/>
    <x v="3"/>
    <n v="2"/>
    <n v="207.52"/>
    <x v="2"/>
    <n v="415.04"/>
    <n v="394.29"/>
    <s v="Memb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5-01-02T00:00:00"/>
    <s v="January"/>
    <s v="Electronics"/>
    <s v="West"/>
    <n v="1"/>
    <n v="149.88999999999999"/>
    <n v="0.15"/>
    <n v="149.88999999999999"/>
    <n v="127.41"/>
    <s v="VIP"/>
  </r>
  <r>
    <d v="2025-01-14T00:00:00"/>
    <s v="January"/>
    <s v="Home &amp; Kitchen"/>
    <s v="North"/>
    <n v="1"/>
    <n v="210.69"/>
    <n v="0"/>
    <n v="210.69"/>
    <n v="210.69"/>
    <s v="Member"/>
  </r>
  <r>
    <d v="2025-01-15T00:00:00"/>
    <s v="January"/>
    <s v="Clothing"/>
    <s v="West"/>
    <n v="2"/>
    <n v="92.39"/>
    <n v="0.15"/>
    <n v="184.78"/>
    <n v="157.06"/>
    <s v="Member"/>
  </r>
  <r>
    <d v="2025-01-21T00:00:00"/>
    <s v="January"/>
    <s v="Beauty"/>
    <s v="East"/>
    <n v="1"/>
    <n v="66.900000000000006"/>
    <n v="0.05"/>
    <n v="66.900000000000006"/>
    <n v="63.56"/>
    <s v="Regular"/>
  </r>
  <r>
    <d v="2025-01-21T00:00:00"/>
    <s v="January"/>
    <s v="Clothing"/>
    <s v="North"/>
    <n v="5"/>
    <n v="29.72"/>
    <n v="0"/>
    <n v="148.6"/>
    <n v="148.6"/>
    <s v="VIP"/>
  </r>
  <r>
    <d v="2025-01-22T00:00:00"/>
    <s v="January"/>
    <s v="Electronics"/>
    <s v="North"/>
    <n v="1"/>
    <n v="342.21"/>
    <n v="0"/>
    <n v="342.21"/>
    <n v="342.21"/>
    <s v="Member"/>
  </r>
  <r>
    <d v="2025-02-04T00:00:00"/>
    <s v="February"/>
    <s v="Electronics"/>
    <s v="North"/>
    <n v="1"/>
    <n v="130.07"/>
    <n v="0"/>
    <n v="130.07"/>
    <n v="130.07"/>
    <s v="Regular"/>
  </r>
  <r>
    <d v="2025-02-10T00:00:00"/>
    <s v="February"/>
    <s v="Clothing"/>
    <s v="South"/>
    <n v="3"/>
    <n v="48.34"/>
    <n v="0"/>
    <n v="145.02000000000001"/>
    <n v="145.02000000000001"/>
    <s v="Regular"/>
  </r>
  <r>
    <d v="2025-02-22T00:00:00"/>
    <s v="February"/>
    <s v="Home &amp; Kitchen"/>
    <s v="West"/>
    <n v="3"/>
    <n v="248.59"/>
    <n v="0"/>
    <n v="745.77"/>
    <n v="745.77"/>
    <s v="VIP"/>
  </r>
  <r>
    <d v="2025-02-28T00:00:00"/>
    <s v="February"/>
    <s v="Sports"/>
    <s v="South"/>
    <n v="1"/>
    <n v="125.9"/>
    <n v="0"/>
    <n v="125.9"/>
    <n v="125.9"/>
    <s v="Member"/>
  </r>
  <r>
    <d v="2025-03-04T00:00:00"/>
    <s v="March"/>
    <s v="Beauty"/>
    <s v="East"/>
    <n v="3"/>
    <n v="50.93"/>
    <n v="0"/>
    <n v="152.79"/>
    <n v="152.79"/>
    <s v="Member"/>
  </r>
  <r>
    <d v="2025-03-06T00:00:00"/>
    <s v="March"/>
    <s v="Beauty"/>
    <s v="North"/>
    <n v="4"/>
    <n v="76.47"/>
    <n v="0"/>
    <n v="305.88"/>
    <n v="305.88"/>
    <s v="Member"/>
  </r>
  <r>
    <d v="2025-03-13T00:00:00"/>
    <s v="March"/>
    <s v="Electronics"/>
    <s v="North"/>
    <n v="1"/>
    <n v="123.38"/>
    <n v="0"/>
    <n v="123.38"/>
    <n v="123.38"/>
    <s v="Regular"/>
  </r>
  <r>
    <d v="2025-03-22T00:00:00"/>
    <s v="March"/>
    <s v="Home &amp; Kitchen"/>
    <s v="North"/>
    <n v="5"/>
    <n v="94.46"/>
    <n v="0.2"/>
    <n v="472.3"/>
    <n v="377.84"/>
    <s v="Member"/>
  </r>
  <r>
    <d v="2025-03-29T00:00:00"/>
    <s v="March"/>
    <s v="Sports"/>
    <s v="South"/>
    <n v="2"/>
    <n v="207.52"/>
    <n v="0.05"/>
    <n v="415.04"/>
    <n v="394.29"/>
    <s v="Member"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  <r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770CC-9104-40C3-BCDC-C71216257222}" name="PivotTable6" cacheId="2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5:G20" firstHeaderRow="0" firstDataRow="1" firstDataCol="1"/>
  <pivotFields count="10">
    <pivotField compact="0" numFmtId="14" outline="0" showAll="0"/>
    <pivotField compact="0" outline="0" showAll="0"/>
    <pivotField compact="0" outline="0" showAll="0">
      <items count="6">
        <item x="4"/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9" outline="0" showAll="0">
      <items count="5">
        <item x="1"/>
        <item x="2"/>
        <item x="0"/>
        <item x="3"/>
        <item t="default"/>
      </items>
    </pivotField>
    <pivotField dataField="1" compact="0" outline="0" showAll="0"/>
    <pivotField dataField="1"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Revenue ($)" fld="8" baseField="0" baseItem="0"/>
    <dataField name="Sum of Gross Revenue ($)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890DE-20D0-4E90-9207-35D36A467003}" name="PivotTable5" cacheId="2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G9" firstHeaderRow="0" firstDataRow="1" firstDataCol="1"/>
  <pivotFields count="10">
    <pivotField compact="0" numFmtId="14" outline="0" showAll="0"/>
    <pivotField compact="0" outline="0" showAll="0"/>
    <pivotField axis="axisRow" compact="0" outline="0" showAll="0" measureFilter="1" sortType="ascending">
      <items count="6">
        <item x="4"/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6">
    <i>
      <x v="3"/>
    </i>
    <i>
      <x/>
    </i>
    <i>
      <x v="4"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Revenue ($)" fld="8" baseField="0" baseItem="0"/>
    <dataField name="Sum of Quantity" fld="4" baseField="0" baseItem="0"/>
  </dataFields>
  <pivotTableStyleInfo name="PivotStyleMedium9" showRowHeaders="1" showColHeaders="1" showRowStripes="0" showColStripes="0" showLastColumn="1"/>
  <filters count="1">
    <filter fld="2" type="count" evalOrder="-1" id="6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BBB8A-D815-41C9-9AA9-E83D0C704E25}" name="PivotTable4" cacheId="2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5:B29" firstHeaderRow="1" firstDataRow="1" firstDataCol="1"/>
  <pivotFields count="10"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sortType="descending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 Revenue ($)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BF57A-B4EE-4EBA-A3CA-F76ED0257254}" name="PivotTable3" cacheId="2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:B19" firstHeaderRow="1" firstDataRow="1" firstDataCol="1"/>
  <pivotFields count="10"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Revenue ($)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BA451-05D8-4D0C-A099-C47ED08A9E10}" name="PivotTable2" cacheId="2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0">
    <pivotField compact="0" numFmtId="14" outline="0" showAll="0"/>
    <pivotField compact="0" outline="0" showAll="0"/>
    <pivotField axis="axisRow"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 Revenue ($)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C5C40-10A2-49F6-B7B0-0AA9E6E6B138}" name="PivotTable1" cacheId="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21:N38" firstHeaderRow="1" firstDataRow="1" firstDataCol="0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B341-07D1-4653-9824-2B0B213DBB25}">
  <dimension ref="A2:G29"/>
  <sheetViews>
    <sheetView tabSelected="1" workbookViewId="0">
      <selection activeCell="B9" sqref="A2:B9"/>
    </sheetView>
  </sheetViews>
  <sheetFormatPr defaultRowHeight="15"/>
  <cols>
    <col min="1" max="1" width="19.85546875" bestFit="1" customWidth="1"/>
    <col min="2" max="2" width="22.7109375" bestFit="1" customWidth="1"/>
    <col min="5" max="5" width="15.42578125" bestFit="1" customWidth="1"/>
    <col min="6" max="6" width="22.7109375" bestFit="1" customWidth="1"/>
    <col min="7" max="7" width="24.42578125" bestFit="1" customWidth="1"/>
    <col min="8" max="8" width="10.7109375" bestFit="1" customWidth="1"/>
    <col min="9" max="9" width="8.5703125" bestFit="1" customWidth="1"/>
    <col min="10" max="10" width="7.42578125" bestFit="1" customWidth="1"/>
    <col min="11" max="11" width="24.42578125" bestFit="1" customWidth="1"/>
    <col min="12" max="12" width="15.85546875" bestFit="1" customWidth="1"/>
    <col min="13" max="13" width="10.7109375" bestFit="1" customWidth="1"/>
    <col min="14" max="14" width="8.5703125" bestFit="1" customWidth="1"/>
    <col min="15" max="15" width="7.42578125" bestFit="1" customWidth="1"/>
    <col min="16" max="16" width="27.85546875" bestFit="1" customWidth="1"/>
    <col min="17" max="17" width="29.5703125" bestFit="1" customWidth="1"/>
  </cols>
  <sheetData>
    <row r="2" spans="1:7">
      <c r="A2" s="14" t="s">
        <v>0</v>
      </c>
      <c r="B2" s="14"/>
      <c r="E2" s="14" t="s">
        <v>1</v>
      </c>
      <c r="F2" s="14"/>
      <c r="G2" s="14"/>
    </row>
    <row r="3" spans="1:7">
      <c r="A3" s="12" t="s">
        <v>2</v>
      </c>
      <c r="B3" t="s">
        <v>3</v>
      </c>
      <c r="E3" s="12" t="s">
        <v>2</v>
      </c>
      <c r="F3" t="s">
        <v>3</v>
      </c>
      <c r="G3" t="s">
        <v>4</v>
      </c>
    </row>
    <row r="4" spans="1:7">
      <c r="A4" t="s">
        <v>5</v>
      </c>
      <c r="B4" s="13">
        <v>522.23</v>
      </c>
      <c r="E4" t="s">
        <v>6</v>
      </c>
      <c r="F4" s="13">
        <v>450.67999999999995</v>
      </c>
      <c r="G4" s="13">
        <v>10</v>
      </c>
    </row>
    <row r="5" spans="1:7">
      <c r="A5" t="s">
        <v>6</v>
      </c>
      <c r="B5" s="13">
        <v>450.67999999999995</v>
      </c>
      <c r="E5" t="s">
        <v>7</v>
      </c>
      <c r="F5" s="13">
        <v>520.19000000000005</v>
      </c>
      <c r="G5" s="13">
        <v>3</v>
      </c>
    </row>
    <row r="6" spans="1:7">
      <c r="A6" t="s">
        <v>8</v>
      </c>
      <c r="B6" s="13">
        <v>723.07</v>
      </c>
      <c r="E6" t="s">
        <v>5</v>
      </c>
      <c r="F6" s="13">
        <v>522.23</v>
      </c>
      <c r="G6" s="13">
        <v>8</v>
      </c>
    </row>
    <row r="7" spans="1:7">
      <c r="A7" t="s">
        <v>9</v>
      </c>
      <c r="B7" s="13">
        <v>1334.3</v>
      </c>
      <c r="E7" t="s">
        <v>8</v>
      </c>
      <c r="F7" s="13">
        <v>723.07</v>
      </c>
      <c r="G7" s="13">
        <v>4</v>
      </c>
    </row>
    <row r="8" spans="1:7">
      <c r="A8" t="s">
        <v>7</v>
      </c>
      <c r="B8" s="13">
        <v>520.19000000000005</v>
      </c>
      <c r="E8" t="s">
        <v>9</v>
      </c>
      <c r="F8" s="13">
        <v>1334.3</v>
      </c>
      <c r="G8" s="13">
        <v>9</v>
      </c>
    </row>
    <row r="9" spans="1:7">
      <c r="A9" t="s">
        <v>10</v>
      </c>
      <c r="B9" s="13">
        <v>3550.47</v>
      </c>
      <c r="E9" t="s">
        <v>10</v>
      </c>
      <c r="F9" s="13">
        <v>3550.47</v>
      </c>
      <c r="G9" s="13">
        <v>34</v>
      </c>
    </row>
    <row r="13" spans="1:7">
      <c r="A13" s="14" t="s">
        <v>11</v>
      </c>
      <c r="B13" s="14"/>
    </row>
    <row r="14" spans="1:7">
      <c r="A14" s="12" t="s">
        <v>12</v>
      </c>
      <c r="B14" t="s">
        <v>3</v>
      </c>
      <c r="E14" s="14" t="s">
        <v>1</v>
      </c>
      <c r="F14" s="14"/>
      <c r="G14" s="14"/>
    </row>
    <row r="15" spans="1:7">
      <c r="A15" t="s">
        <v>13</v>
      </c>
      <c r="B15" s="13">
        <v>216.35</v>
      </c>
      <c r="E15" s="12" t="s">
        <v>14</v>
      </c>
      <c r="F15" t="s">
        <v>3</v>
      </c>
      <c r="G15" t="s">
        <v>15</v>
      </c>
    </row>
    <row r="16" spans="1:7">
      <c r="A16" t="s">
        <v>16</v>
      </c>
      <c r="B16" s="13">
        <v>1638.6699999999998</v>
      </c>
      <c r="E16" s="2">
        <v>0</v>
      </c>
      <c r="F16" s="13">
        <v>2430.31</v>
      </c>
      <c r="G16" s="13">
        <v>2430.31</v>
      </c>
    </row>
    <row r="17" spans="1:7">
      <c r="A17" t="s">
        <v>17</v>
      </c>
      <c r="B17" s="13">
        <v>665.21</v>
      </c>
      <c r="E17" s="2">
        <v>0.05</v>
      </c>
      <c r="F17" s="13">
        <v>457.85</v>
      </c>
      <c r="G17" s="13">
        <v>481.94000000000005</v>
      </c>
    </row>
    <row r="18" spans="1:7">
      <c r="A18" t="s">
        <v>18</v>
      </c>
      <c r="B18" s="13">
        <v>1030.24</v>
      </c>
      <c r="E18" s="2">
        <v>0.15</v>
      </c>
      <c r="F18" s="13">
        <v>284.47000000000003</v>
      </c>
      <c r="G18" s="13">
        <v>334.66999999999996</v>
      </c>
    </row>
    <row r="19" spans="1:7">
      <c r="A19" t="s">
        <v>10</v>
      </c>
      <c r="B19" s="13">
        <v>3550.4699999999993</v>
      </c>
      <c r="E19" s="2">
        <v>0.2</v>
      </c>
      <c r="F19" s="13">
        <v>377.84</v>
      </c>
      <c r="G19" s="13">
        <v>472.3</v>
      </c>
    </row>
    <row r="20" spans="1:7">
      <c r="E20" s="2" t="s">
        <v>10</v>
      </c>
      <c r="F20" s="13">
        <v>3550.4700000000003</v>
      </c>
      <c r="G20" s="13">
        <v>3719.2200000000003</v>
      </c>
    </row>
    <row r="24" spans="1:7">
      <c r="A24" s="14" t="s">
        <v>19</v>
      </c>
      <c r="B24" s="14"/>
    </row>
    <row r="25" spans="1:7">
      <c r="A25" s="12" t="s">
        <v>20</v>
      </c>
      <c r="B25" t="s">
        <v>3</v>
      </c>
    </row>
    <row r="26" spans="1:7">
      <c r="A26" t="s">
        <v>21</v>
      </c>
      <c r="B26" s="13">
        <v>1354.1799999999998</v>
      </c>
    </row>
    <row r="27" spans="1:7">
      <c r="A27" t="s">
        <v>22</v>
      </c>
      <c r="B27" s="13">
        <v>1146.76</v>
      </c>
    </row>
    <row r="28" spans="1:7">
      <c r="A28" t="s">
        <v>23</v>
      </c>
      <c r="B28" s="13">
        <v>1049.53</v>
      </c>
    </row>
    <row r="29" spans="1:7">
      <c r="A29" t="s">
        <v>10</v>
      </c>
      <c r="B29" s="13">
        <v>3550.4699999999993</v>
      </c>
    </row>
  </sheetData>
  <mergeCells count="5">
    <mergeCell ref="E2:G2"/>
    <mergeCell ref="A2:B2"/>
    <mergeCell ref="A13:B13"/>
    <mergeCell ref="A24:B24"/>
    <mergeCell ref="E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workbookViewId="0">
      <selection activeCell="B2" sqref="B2"/>
    </sheetView>
  </sheetViews>
  <sheetFormatPr defaultRowHeight="15"/>
  <cols>
    <col min="1" max="1" width="10.85546875" bestFit="1" customWidth="1"/>
    <col min="2" max="2" width="10.85546875" customWidth="1"/>
    <col min="3" max="3" width="16.42578125" bestFit="1" customWidth="1"/>
    <col min="7" max="7" width="12.140625" bestFit="1" customWidth="1"/>
    <col min="8" max="8" width="17.140625" bestFit="1" customWidth="1"/>
    <col min="9" max="9" width="15.42578125" bestFit="1" customWidth="1"/>
    <col min="10" max="10" width="14.140625" bestFit="1" customWidth="1"/>
  </cols>
  <sheetData>
    <row r="1" spans="1:10">
      <c r="A1" t="s">
        <v>24</v>
      </c>
      <c r="B1" t="s">
        <v>20</v>
      </c>
      <c r="C1" t="s">
        <v>2</v>
      </c>
      <c r="D1" t="s">
        <v>12</v>
      </c>
      <c r="E1" t="s">
        <v>25</v>
      </c>
      <c r="F1" t="s">
        <v>26</v>
      </c>
      <c r="G1" t="s">
        <v>14</v>
      </c>
      <c r="H1" t="s">
        <v>27</v>
      </c>
      <c r="I1" t="s">
        <v>28</v>
      </c>
      <c r="J1" t="s">
        <v>29</v>
      </c>
    </row>
    <row r="2" spans="1:10">
      <c r="A2" s="1">
        <v>45659</v>
      </c>
      <c r="B2" s="1" t="str">
        <f>TEXT(A2,"MMMM")</f>
        <v>January</v>
      </c>
      <c r="C2" t="s">
        <v>8</v>
      </c>
      <c r="D2" t="s">
        <v>18</v>
      </c>
      <c r="E2">
        <v>1</v>
      </c>
      <c r="F2">
        <v>149.88999999999999</v>
      </c>
      <c r="G2" s="2">
        <v>0.15</v>
      </c>
      <c r="H2">
        <v>149.88999999999999</v>
      </c>
      <c r="I2">
        <v>127.41</v>
      </c>
      <c r="J2" t="s">
        <v>30</v>
      </c>
    </row>
    <row r="3" spans="1:10">
      <c r="A3" s="1">
        <v>45671</v>
      </c>
      <c r="B3" s="1" t="str">
        <f t="shared" ref="B3:B16" si="0">TEXT(A3,"MMMM")</f>
        <v>January</v>
      </c>
      <c r="C3" t="s">
        <v>9</v>
      </c>
      <c r="D3" t="s">
        <v>16</v>
      </c>
      <c r="E3">
        <v>1</v>
      </c>
      <c r="F3">
        <v>210.69</v>
      </c>
      <c r="G3" s="2">
        <v>0</v>
      </c>
      <c r="H3">
        <v>210.69</v>
      </c>
      <c r="I3">
        <v>210.69</v>
      </c>
      <c r="J3" t="s">
        <v>31</v>
      </c>
    </row>
    <row r="4" spans="1:10">
      <c r="A4" s="1">
        <v>45672</v>
      </c>
      <c r="B4" s="1" t="str">
        <f t="shared" si="0"/>
        <v>January</v>
      </c>
      <c r="C4" t="s">
        <v>6</v>
      </c>
      <c r="D4" t="s">
        <v>18</v>
      </c>
      <c r="E4">
        <v>2</v>
      </c>
      <c r="F4">
        <v>92.39</v>
      </c>
      <c r="G4" s="2">
        <v>0.15</v>
      </c>
      <c r="H4">
        <v>184.78</v>
      </c>
      <c r="I4">
        <v>157.06</v>
      </c>
      <c r="J4" t="s">
        <v>31</v>
      </c>
    </row>
    <row r="5" spans="1:10">
      <c r="A5" s="1">
        <v>45678</v>
      </c>
      <c r="B5" s="1" t="str">
        <f t="shared" si="0"/>
        <v>January</v>
      </c>
      <c r="C5" t="s">
        <v>5</v>
      </c>
      <c r="D5" t="s">
        <v>13</v>
      </c>
      <c r="E5">
        <v>1</v>
      </c>
      <c r="F5">
        <v>66.900000000000006</v>
      </c>
      <c r="G5" s="2">
        <v>0.05</v>
      </c>
      <c r="H5">
        <v>66.900000000000006</v>
      </c>
      <c r="I5">
        <v>63.56</v>
      </c>
      <c r="J5" t="s">
        <v>32</v>
      </c>
    </row>
    <row r="6" spans="1:10">
      <c r="A6" s="1">
        <v>45678</v>
      </c>
      <c r="B6" s="1" t="str">
        <f t="shared" si="0"/>
        <v>January</v>
      </c>
      <c r="C6" t="s">
        <v>6</v>
      </c>
      <c r="D6" t="s">
        <v>16</v>
      </c>
      <c r="E6">
        <v>5</v>
      </c>
      <c r="F6">
        <v>29.72</v>
      </c>
      <c r="G6" s="2">
        <v>0</v>
      </c>
      <c r="H6">
        <v>148.6</v>
      </c>
      <c r="I6">
        <v>148.6</v>
      </c>
      <c r="J6" t="s">
        <v>30</v>
      </c>
    </row>
    <row r="7" spans="1:10">
      <c r="A7" s="1">
        <v>45679</v>
      </c>
      <c r="B7" s="1" t="str">
        <f t="shared" si="0"/>
        <v>January</v>
      </c>
      <c r="C7" t="s">
        <v>8</v>
      </c>
      <c r="D7" t="s">
        <v>16</v>
      </c>
      <c r="E7">
        <v>1</v>
      </c>
      <c r="F7">
        <v>342.21</v>
      </c>
      <c r="G7" s="2">
        <v>0</v>
      </c>
      <c r="H7">
        <v>342.21</v>
      </c>
      <c r="I7">
        <v>342.21</v>
      </c>
      <c r="J7" t="s">
        <v>31</v>
      </c>
    </row>
    <row r="8" spans="1:10">
      <c r="A8" s="1">
        <v>45692</v>
      </c>
      <c r="B8" s="1" t="str">
        <f t="shared" si="0"/>
        <v>February</v>
      </c>
      <c r="C8" t="s">
        <v>8</v>
      </c>
      <c r="D8" t="s">
        <v>16</v>
      </c>
      <c r="E8">
        <v>1</v>
      </c>
      <c r="F8">
        <v>130.07</v>
      </c>
      <c r="G8" s="2">
        <v>0</v>
      </c>
      <c r="H8">
        <v>130.07</v>
      </c>
      <c r="I8">
        <v>130.07</v>
      </c>
      <c r="J8" t="s">
        <v>32</v>
      </c>
    </row>
    <row r="9" spans="1:10">
      <c r="A9" s="1">
        <v>45698</v>
      </c>
      <c r="B9" s="1" t="str">
        <f t="shared" si="0"/>
        <v>February</v>
      </c>
      <c r="C9" t="s">
        <v>6</v>
      </c>
      <c r="D9" t="s">
        <v>17</v>
      </c>
      <c r="E9">
        <v>3</v>
      </c>
      <c r="F9">
        <v>48.34</v>
      </c>
      <c r="G9" s="2">
        <v>0</v>
      </c>
      <c r="H9">
        <v>145.02000000000001</v>
      </c>
      <c r="I9">
        <v>145.02000000000001</v>
      </c>
      <c r="J9" t="s">
        <v>32</v>
      </c>
    </row>
    <row r="10" spans="1:10">
      <c r="A10" s="1">
        <v>45710</v>
      </c>
      <c r="B10" s="1" t="str">
        <f t="shared" si="0"/>
        <v>February</v>
      </c>
      <c r="C10" t="s">
        <v>9</v>
      </c>
      <c r="D10" t="s">
        <v>18</v>
      </c>
      <c r="E10">
        <v>3</v>
      </c>
      <c r="F10">
        <v>248.59</v>
      </c>
      <c r="G10" s="2">
        <v>0</v>
      </c>
      <c r="H10">
        <v>745.77</v>
      </c>
      <c r="I10">
        <v>745.77</v>
      </c>
      <c r="J10" t="s">
        <v>30</v>
      </c>
    </row>
    <row r="11" spans="1:10">
      <c r="A11" s="1">
        <v>45716</v>
      </c>
      <c r="B11" s="1" t="str">
        <f t="shared" si="0"/>
        <v>February</v>
      </c>
      <c r="C11" t="s">
        <v>7</v>
      </c>
      <c r="D11" t="s">
        <v>17</v>
      </c>
      <c r="E11">
        <v>1</v>
      </c>
      <c r="F11">
        <v>125.9</v>
      </c>
      <c r="G11" s="2">
        <v>0</v>
      </c>
      <c r="H11">
        <v>125.9</v>
      </c>
      <c r="I11">
        <v>125.9</v>
      </c>
      <c r="J11" t="s">
        <v>31</v>
      </c>
    </row>
    <row r="12" spans="1:10">
      <c r="A12" s="1">
        <v>45720</v>
      </c>
      <c r="B12" s="1" t="str">
        <f t="shared" si="0"/>
        <v>March</v>
      </c>
      <c r="C12" t="s">
        <v>5</v>
      </c>
      <c r="D12" t="s">
        <v>13</v>
      </c>
      <c r="E12">
        <v>3</v>
      </c>
      <c r="F12">
        <v>50.93</v>
      </c>
      <c r="G12" s="2">
        <v>0</v>
      </c>
      <c r="H12">
        <v>152.79</v>
      </c>
      <c r="I12">
        <v>152.79</v>
      </c>
      <c r="J12" t="s">
        <v>31</v>
      </c>
    </row>
    <row r="13" spans="1:10">
      <c r="A13" s="1">
        <v>45722</v>
      </c>
      <c r="B13" s="1" t="str">
        <f t="shared" si="0"/>
        <v>March</v>
      </c>
      <c r="C13" t="s">
        <v>5</v>
      </c>
      <c r="D13" t="s">
        <v>16</v>
      </c>
      <c r="E13">
        <v>4</v>
      </c>
      <c r="F13">
        <v>76.47</v>
      </c>
      <c r="G13" s="2">
        <v>0</v>
      </c>
      <c r="H13">
        <v>305.88</v>
      </c>
      <c r="I13">
        <v>305.88</v>
      </c>
      <c r="J13" t="s">
        <v>31</v>
      </c>
    </row>
    <row r="14" spans="1:10">
      <c r="A14" s="1">
        <v>45729</v>
      </c>
      <c r="B14" s="1" t="str">
        <f t="shared" si="0"/>
        <v>March</v>
      </c>
      <c r="C14" t="s">
        <v>8</v>
      </c>
      <c r="D14" t="s">
        <v>16</v>
      </c>
      <c r="E14">
        <v>1</v>
      </c>
      <c r="F14">
        <v>123.38</v>
      </c>
      <c r="G14" s="2">
        <v>0</v>
      </c>
      <c r="H14">
        <v>123.38</v>
      </c>
      <c r="I14">
        <v>123.38</v>
      </c>
      <c r="J14" t="s">
        <v>32</v>
      </c>
    </row>
    <row r="15" spans="1:10">
      <c r="A15" s="1">
        <v>45738</v>
      </c>
      <c r="B15" s="1" t="str">
        <f t="shared" si="0"/>
        <v>March</v>
      </c>
      <c r="C15" t="s">
        <v>9</v>
      </c>
      <c r="D15" t="s">
        <v>16</v>
      </c>
      <c r="E15">
        <v>5</v>
      </c>
      <c r="F15">
        <v>94.46</v>
      </c>
      <c r="G15" s="2">
        <v>0.2</v>
      </c>
      <c r="H15">
        <v>472.3</v>
      </c>
      <c r="I15">
        <v>377.84</v>
      </c>
      <c r="J15" t="s">
        <v>31</v>
      </c>
    </row>
    <row r="16" spans="1:10">
      <c r="A16" s="1">
        <v>45745</v>
      </c>
      <c r="B16" s="1" t="str">
        <f t="shared" si="0"/>
        <v>March</v>
      </c>
      <c r="C16" t="s">
        <v>7</v>
      </c>
      <c r="D16" t="s">
        <v>17</v>
      </c>
      <c r="E16">
        <v>2</v>
      </c>
      <c r="F16">
        <v>207.52</v>
      </c>
      <c r="G16" s="2">
        <v>0.05</v>
      </c>
      <c r="H16">
        <v>415.04</v>
      </c>
      <c r="I16">
        <v>394.29</v>
      </c>
      <c r="J16" t="s">
        <v>31</v>
      </c>
    </row>
    <row r="21" spans="12:14">
      <c r="L21" s="3"/>
      <c r="M21" s="4"/>
      <c r="N21" s="5"/>
    </row>
    <row r="22" spans="12:14">
      <c r="L22" s="6"/>
      <c r="M22" s="7"/>
      <c r="N22" s="8"/>
    </row>
    <row r="23" spans="12:14">
      <c r="L23" s="6"/>
      <c r="M23" s="7"/>
      <c r="N23" s="8"/>
    </row>
    <row r="24" spans="12:14">
      <c r="L24" s="6"/>
      <c r="M24" s="7"/>
      <c r="N24" s="8"/>
    </row>
    <row r="25" spans="12:14">
      <c r="L25" s="6"/>
      <c r="M25" s="7"/>
      <c r="N25" s="8"/>
    </row>
    <row r="26" spans="12:14">
      <c r="L26" s="6"/>
      <c r="M26" s="7"/>
      <c r="N26" s="8"/>
    </row>
    <row r="27" spans="12:14">
      <c r="L27" s="6"/>
      <c r="M27" s="7"/>
      <c r="N27" s="8"/>
    </row>
    <row r="28" spans="12:14">
      <c r="L28" s="6"/>
      <c r="M28" s="7"/>
      <c r="N28" s="8"/>
    </row>
    <row r="29" spans="12:14">
      <c r="L29" s="6"/>
      <c r="M29" s="7"/>
      <c r="N29" s="8"/>
    </row>
    <row r="30" spans="12:14">
      <c r="L30" s="6"/>
      <c r="M30" s="7"/>
      <c r="N30" s="8"/>
    </row>
    <row r="31" spans="12:14">
      <c r="L31" s="6"/>
      <c r="M31" s="7"/>
      <c r="N31" s="8"/>
    </row>
    <row r="32" spans="12:14">
      <c r="L32" s="6"/>
      <c r="M32" s="7"/>
      <c r="N32" s="8"/>
    </row>
    <row r="33" spans="12:14">
      <c r="L33" s="6"/>
      <c r="M33" s="7"/>
      <c r="N33" s="8"/>
    </row>
    <row r="34" spans="12:14">
      <c r="L34" s="6"/>
      <c r="M34" s="7"/>
      <c r="N34" s="8"/>
    </row>
    <row r="35" spans="12:14">
      <c r="L35" s="6"/>
      <c r="M35" s="7"/>
      <c r="N35" s="8"/>
    </row>
    <row r="36" spans="12:14">
      <c r="L36" s="6"/>
      <c r="M36" s="7"/>
      <c r="N36" s="8"/>
    </row>
    <row r="37" spans="12:14">
      <c r="L37" s="6"/>
      <c r="M37" s="7"/>
      <c r="N37" s="8"/>
    </row>
    <row r="38" spans="12:14">
      <c r="L38" s="9"/>
      <c r="M38" s="10"/>
      <c r="N3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2026-10-01T15:10:40Z</dcterms:created>
  <dcterms:modified xsi:type="dcterms:W3CDTF">2026-10-01T16:08:06Z</dcterms:modified>
  <cp:category/>
  <cp:contentStatus/>
</cp:coreProperties>
</file>