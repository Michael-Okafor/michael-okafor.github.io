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hidePivotFieldList="1"/>
  <xr:revisionPtr revIDLastSave="0" documentId="8_{5D951CDE-B846-49F1-ABD2-CD3D121E916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2" sheetId="2" r:id="rId1"/>
    <sheet name="Sheet1" sheetId="1" r:id="rId2"/>
  </sheets>
  <definedNames>
    <definedName name="Slicer_Category">#N/A</definedName>
    <definedName name="Slicer_Payment_Method">#N/A</definedName>
    <definedName name="Slicer_Region">#N/A</definedName>
  </definedNames>
  <calcPr calcId="191028"/>
  <pivotCaches>
    <pivotCache cacheId="371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Q2" i="1"/>
</calcChain>
</file>

<file path=xl/sharedStrings.xml><?xml version="1.0" encoding="utf-8"?>
<sst xmlns="http://schemas.openxmlformats.org/spreadsheetml/2006/main" count="1886" uniqueCount="904">
  <si>
    <t>Sum of Revenue</t>
  </si>
  <si>
    <t>Count of Order_ID</t>
  </si>
  <si>
    <t>Count of Customer</t>
  </si>
  <si>
    <t>Average Order Value</t>
  </si>
  <si>
    <t>Months</t>
  </si>
  <si>
    <t>Region</t>
  </si>
  <si>
    <t>January</t>
  </si>
  <si>
    <t>Zurich</t>
  </si>
  <si>
    <t>Category</t>
  </si>
  <si>
    <t>Product</t>
  </si>
  <si>
    <t>February</t>
  </si>
  <si>
    <t>Piedmont</t>
  </si>
  <si>
    <t>Electronics</t>
  </si>
  <si>
    <t>Armchair</t>
  </si>
  <si>
    <t>March</t>
  </si>
  <si>
    <t>Texas</t>
  </si>
  <si>
    <t>Furniture</t>
  </si>
  <si>
    <t>Bracelet</t>
  </si>
  <si>
    <t>April</t>
  </si>
  <si>
    <t>Cundinamarca</t>
  </si>
  <si>
    <t>Kitchen Storage</t>
  </si>
  <si>
    <t>Coffee Mugs</t>
  </si>
  <si>
    <t>May</t>
  </si>
  <si>
    <t>Sardinia</t>
  </si>
  <si>
    <t>Office Electronics</t>
  </si>
  <si>
    <t>Desktop Computer</t>
  </si>
  <si>
    <t>June</t>
  </si>
  <si>
    <t>Greater London</t>
  </si>
  <si>
    <t>Kitchen Appliances</t>
  </si>
  <si>
    <t>Food Storage Container</t>
  </si>
  <si>
    <t>July</t>
  </si>
  <si>
    <t>Valparaíso Region</t>
  </si>
  <si>
    <t>Travel</t>
  </si>
  <si>
    <t>Fountain Pen</t>
  </si>
  <si>
    <t>August</t>
  </si>
  <si>
    <t>Eastern Cape</t>
  </si>
  <si>
    <t>Stationery</t>
  </si>
  <si>
    <t>Juicer</t>
  </si>
  <si>
    <t>September</t>
  </si>
  <si>
    <t>Lesser Poland</t>
  </si>
  <si>
    <t>Jewelry</t>
  </si>
  <si>
    <t>Scanner</t>
  </si>
  <si>
    <t>October</t>
  </si>
  <si>
    <t>Helsinki-Uusimaa</t>
  </si>
  <si>
    <t>Kitchen &amp; Dining</t>
  </si>
  <si>
    <t>Sofa</t>
  </si>
  <si>
    <t>November</t>
  </si>
  <si>
    <t>Grand Total</t>
  </si>
  <si>
    <t>Makeup</t>
  </si>
  <si>
    <t>Suitcase</t>
  </si>
  <si>
    <t>December</t>
  </si>
  <si>
    <t>Footwear</t>
  </si>
  <si>
    <t>Sports</t>
  </si>
  <si>
    <t>Outdoor</t>
  </si>
  <si>
    <t>Fitness</t>
  </si>
  <si>
    <t>unknown</t>
  </si>
  <si>
    <t>Wearables</t>
  </si>
  <si>
    <t>Kitchen Tools</t>
  </si>
  <si>
    <t>Home Entertainment</t>
  </si>
  <si>
    <t>Gaming</t>
  </si>
  <si>
    <t>Personal Care</t>
  </si>
  <si>
    <t>Cookware</t>
  </si>
  <si>
    <t>Mobile Accessories</t>
  </si>
  <si>
    <t>Drinkware</t>
  </si>
  <si>
    <t>Smart Home</t>
  </si>
  <si>
    <t>Golf</t>
  </si>
  <si>
    <t>Office Supplies</t>
  </si>
  <si>
    <t>Clothing</t>
  </si>
  <si>
    <t>Order_ID</t>
  </si>
  <si>
    <t>Order_Date</t>
  </si>
  <si>
    <t>Customer</t>
  </si>
  <si>
    <t>Quantity</t>
  </si>
  <si>
    <t>Unit_Price</t>
  </si>
  <si>
    <t>Discount</t>
  </si>
  <si>
    <t>Payment_Method</t>
  </si>
  <si>
    <t>Salesperson</t>
  </si>
  <si>
    <t>Revenue</t>
  </si>
  <si>
    <t>Month</t>
  </si>
  <si>
    <t>Discount_Band</t>
  </si>
  <si>
    <t>Column1</t>
  </si>
  <si>
    <t>James Anderson</t>
  </si>
  <si>
    <t>California</t>
  </si>
  <si>
    <t>Laptop</t>
  </si>
  <si>
    <t>CRYPTO</t>
  </si>
  <si>
    <t>Liam</t>
  </si>
  <si>
    <t>2026-05</t>
  </si>
  <si>
    <t>20%-40%</t>
  </si>
  <si>
    <t>Total Revenue</t>
  </si>
  <si>
    <t>Emily Johnson</t>
  </si>
  <si>
    <t>Smartphone</t>
  </si>
  <si>
    <t>CREDIT</t>
  </si>
  <si>
    <t>Noah</t>
  </si>
  <si>
    <t>2026-06</t>
  </si>
  <si>
    <t>0-20%</t>
  </si>
  <si>
    <t>Michael Williams</t>
  </si>
  <si>
    <t>Florida</t>
  </si>
  <si>
    <t>Tablet</t>
  </si>
  <si>
    <t>CARD</t>
  </si>
  <si>
    <t>Oliver</t>
  </si>
  <si>
    <t>2026-03</t>
  </si>
  <si>
    <t>Sarah Brown</t>
  </si>
  <si>
    <t>New York</t>
  </si>
  <si>
    <t>Elijah</t>
  </si>
  <si>
    <t>David Jones</t>
  </si>
  <si>
    <t>Ontario</t>
  </si>
  <si>
    <t>Monitor</t>
  </si>
  <si>
    <t>James</t>
  </si>
  <si>
    <t>2026-01</t>
  </si>
  <si>
    <t>Jessica Garcia</t>
  </si>
  <si>
    <t>Quebec</t>
  </si>
  <si>
    <t>Keyboard</t>
  </si>
  <si>
    <t>Computer Accessories</t>
  </si>
  <si>
    <t>William</t>
  </si>
  <si>
    <t>Robert Miller</t>
  </si>
  <si>
    <t>British Columbia</t>
  </si>
  <si>
    <t>Mouse</t>
  </si>
  <si>
    <t>Henry</t>
  </si>
  <si>
    <t>Emma Davis</t>
  </si>
  <si>
    <t>Alberta</t>
  </si>
  <si>
    <t>Webcam</t>
  </si>
  <si>
    <t>Lucas</t>
  </si>
  <si>
    <t>William Wilson</t>
  </si>
  <si>
    <t>Bavaria</t>
  </si>
  <si>
    <t>Printer</t>
  </si>
  <si>
    <t>Benjamin</t>
  </si>
  <si>
    <t>2026-04</t>
  </si>
  <si>
    <t>Olivia Moore</t>
  </si>
  <si>
    <t>Saxony</t>
  </si>
  <si>
    <t>Theodore</t>
  </si>
  <si>
    <t>Richard Taylor</t>
  </si>
  <si>
    <t>Hesse</t>
  </si>
  <si>
    <t>Headphones</t>
  </si>
  <si>
    <t>Audio</t>
  </si>
  <si>
    <t>Jack</t>
  </si>
  <si>
    <t>Sophia Anderson</t>
  </si>
  <si>
    <t>Brandenburg</t>
  </si>
  <si>
    <t>Earbuds</t>
  </si>
  <si>
    <t>Levi</t>
  </si>
  <si>
    <t>2026-09</t>
  </si>
  <si>
    <t>40%-60%</t>
  </si>
  <si>
    <t>Joseph Thomas</t>
  </si>
  <si>
    <t>Tuscany</t>
  </si>
  <si>
    <t>Bluetooth Speaker</t>
  </si>
  <si>
    <t>Alexander</t>
  </si>
  <si>
    <t>2026-08</t>
  </si>
  <si>
    <t>Ava Jackson</t>
  </si>
  <si>
    <t>Lombardy</t>
  </si>
  <si>
    <t>Soundbar</t>
  </si>
  <si>
    <t>Jackson</t>
  </si>
  <si>
    <t>2026-11</t>
  </si>
  <si>
    <t>Thomas White</t>
  </si>
  <si>
    <t>Sicily</t>
  </si>
  <si>
    <t>Microphone</t>
  </si>
  <si>
    <t>Mateo</t>
  </si>
  <si>
    <t>Isabella Harris</t>
  </si>
  <si>
    <t>Veneto</t>
  </si>
  <si>
    <t>Smartwatch</t>
  </si>
  <si>
    <t>Daniel</t>
  </si>
  <si>
    <t>Charles Martin</t>
  </si>
  <si>
    <t>Catalonia</t>
  </si>
  <si>
    <t>Fitness Tracker</t>
  </si>
  <si>
    <t>Michael</t>
  </si>
  <si>
    <t>Mia Thompson</t>
  </si>
  <si>
    <t>Andalusia</t>
  </si>
  <si>
    <t>Digital Camera</t>
  </si>
  <si>
    <t>Cameras</t>
  </si>
  <si>
    <t>Sebastian</t>
  </si>
  <si>
    <t>Daniel Garcia</t>
  </si>
  <si>
    <t>Galicia</t>
  </si>
  <si>
    <t>Action Camera</t>
  </si>
  <si>
    <t>Ethan</t>
  </si>
  <si>
    <t>Amelia Martinez</t>
  </si>
  <si>
    <t>Basque Country</t>
  </si>
  <si>
    <t>Tripod</t>
  </si>
  <si>
    <t>Camera Accessories</t>
  </si>
  <si>
    <t>CASH</t>
  </si>
  <si>
    <t>Owen</t>
  </si>
  <si>
    <t>2026-10</t>
  </si>
  <si>
    <t>Matthew Robinson</t>
  </si>
  <si>
    <t>Île-De-France</t>
  </si>
  <si>
    <t>Television</t>
  </si>
  <si>
    <t>DIGITAL WALLET</t>
  </si>
  <si>
    <t>Samuel</t>
  </si>
  <si>
    <t>Harper Clark</t>
  </si>
  <si>
    <t>Normandy</t>
  </si>
  <si>
    <t>Projector</t>
  </si>
  <si>
    <t>Hudson</t>
  </si>
  <si>
    <t>Anthony Rodriguez</t>
  </si>
  <si>
    <t>Brittany</t>
  </si>
  <si>
    <t>Streaming Device</t>
  </si>
  <si>
    <t>Joseph</t>
  </si>
  <si>
    <t>Evelyn Lewis</t>
  </si>
  <si>
    <t>Provence</t>
  </si>
  <si>
    <t>Game Console</t>
  </si>
  <si>
    <t>Mason</t>
  </si>
  <si>
    <t>Christopher Lee</t>
  </si>
  <si>
    <t>Flanders</t>
  </si>
  <si>
    <t>Gaming Controller</t>
  </si>
  <si>
    <t>Asher</t>
  </si>
  <si>
    <t>2026-12</t>
  </si>
  <si>
    <t>Abigail Walker</t>
  </si>
  <si>
    <t>Wallonia</t>
  </si>
  <si>
    <t>Gaming Headset</t>
  </si>
  <si>
    <t>Leo</t>
  </si>
  <si>
    <t>Andrew Hall</t>
  </si>
  <si>
    <t>Gaming Chair</t>
  </si>
  <si>
    <t>Gaming Furniture</t>
  </si>
  <si>
    <t>John</t>
  </si>
  <si>
    <t>2026-07</t>
  </si>
  <si>
    <t>Ella Allen</t>
  </si>
  <si>
    <t>Tyrol</t>
  </si>
  <si>
    <t>External Hard Drive</t>
  </si>
  <si>
    <t>Ezra</t>
  </si>
  <si>
    <t>Joshua Young</t>
  </si>
  <si>
    <t>Salzburg</t>
  </si>
  <si>
    <t>USB Flash Drive</t>
  </si>
  <si>
    <t>Luca</t>
  </si>
  <si>
    <t>Scarlett Hernandez</t>
  </si>
  <si>
    <t>Styria</t>
  </si>
  <si>
    <t>Power Bank</t>
  </si>
  <si>
    <t>Elias</t>
  </si>
  <si>
    <t>Ryan King</t>
  </si>
  <si>
    <t>Smartphone Case</t>
  </si>
  <si>
    <t>Grace Wright</t>
  </si>
  <si>
    <t>Bern</t>
  </si>
  <si>
    <t>Screen Protector</t>
  </si>
  <si>
    <t>Thomas</t>
  </si>
  <si>
    <t>Nicholas Lopez</t>
  </si>
  <si>
    <t>Geneva</t>
  </si>
  <si>
    <t>Wireless Charger</t>
  </si>
  <si>
    <t>Isaac</t>
  </si>
  <si>
    <t>Chloe Hill</t>
  </si>
  <si>
    <t>Vaud</t>
  </si>
  <si>
    <t>HDMI Cable</t>
  </si>
  <si>
    <t>Cables</t>
  </si>
  <si>
    <t>Charles</t>
  </si>
  <si>
    <t>Tyler Scott</t>
  </si>
  <si>
    <t>Scotland</t>
  </si>
  <si>
    <t>USB-C Cable</t>
  </si>
  <si>
    <t>Miles</t>
  </si>
  <si>
    <t>Lily Green</t>
  </si>
  <si>
    <t>Wales</t>
  </si>
  <si>
    <t>Power Strip</t>
  </si>
  <si>
    <t>Electrical</t>
  </si>
  <si>
    <t>Christopher</t>
  </si>
  <si>
    <t>Brandon Adams</t>
  </si>
  <si>
    <t>Yorkshire</t>
  </si>
  <si>
    <t>Smart Bulb</t>
  </si>
  <si>
    <t>Josiah</t>
  </si>
  <si>
    <t>2026-02</t>
  </si>
  <si>
    <t>Hannah Baker</t>
  </si>
  <si>
    <t>Cornwall</t>
  </si>
  <si>
    <t>Smart Plug</t>
  </si>
  <si>
    <t>Caleb</t>
  </si>
  <si>
    <t>Samuel Nelson</t>
  </si>
  <si>
    <t>Smart Doorbell</t>
  </si>
  <si>
    <t>Nathan</t>
  </si>
  <si>
    <t>Victoria Carter</t>
  </si>
  <si>
    <t>Kent</t>
  </si>
  <si>
    <t>Security Camera</t>
  </si>
  <si>
    <t>Home Security</t>
  </si>
  <si>
    <t>Isaiah</t>
  </si>
  <si>
    <t>Benjamin Mitchell</t>
  </si>
  <si>
    <t>Refrigerator</t>
  </si>
  <si>
    <t>Appliances</t>
  </si>
  <si>
    <t>Adrian</t>
  </si>
  <si>
    <t>Aria Perez</t>
  </si>
  <si>
    <t>Lower Saxony</t>
  </si>
  <si>
    <t>Freezer</t>
  </si>
  <si>
    <t>Nolan</t>
  </si>
  <si>
    <t>Alexander Roberts</t>
  </si>
  <si>
    <t>Thuringia</t>
  </si>
  <si>
    <t>Microwave Oven</t>
  </si>
  <si>
    <t>Cameron</t>
  </si>
  <si>
    <t>Sofia Turner</t>
  </si>
  <si>
    <t>Westphalia</t>
  </si>
  <si>
    <t>Electric Oven</t>
  </si>
  <si>
    <t>Santiago</t>
  </si>
  <si>
    <t>Ethan Phillips</t>
  </si>
  <si>
    <t>Walloon Brabant</t>
  </si>
  <si>
    <t>Dishwasher</t>
  </si>
  <si>
    <t>Andrew</t>
  </si>
  <si>
    <t>Avery Campbell</t>
  </si>
  <si>
    <t>Utrecht</t>
  </si>
  <si>
    <t>Washing Machine</t>
  </si>
  <si>
    <t>Laundry Appliances</t>
  </si>
  <si>
    <t>Joshua</t>
  </si>
  <si>
    <t>Daniel Parker</t>
  </si>
  <si>
    <t>Zeeland</t>
  </si>
  <si>
    <t>Clothes Dryer</t>
  </si>
  <si>
    <t>Nathaniel</t>
  </si>
  <si>
    <t>Madison Evans</t>
  </si>
  <si>
    <t>Friesland</t>
  </si>
  <si>
    <t>Vacuum Cleaner</t>
  </si>
  <si>
    <t>Cleaning Appliances</t>
  </si>
  <si>
    <t>Ryan</t>
  </si>
  <si>
    <t>Jacob Edwards</t>
  </si>
  <si>
    <t>Gelderland</t>
  </si>
  <si>
    <t>Air Purifier</t>
  </si>
  <si>
    <t>Home Appliances</t>
  </si>
  <si>
    <t>Angel</t>
  </si>
  <si>
    <t>Luna Collins</t>
  </si>
  <si>
    <t>North Holland</t>
  </si>
  <si>
    <t>Air Conditioner</t>
  </si>
  <si>
    <t>Christian</t>
  </si>
  <si>
    <t>Lucas Stewart</t>
  </si>
  <si>
    <t>Stockholm County</t>
  </si>
  <si>
    <t>Electric Kettle</t>
  </si>
  <si>
    <t>Aaron</t>
  </si>
  <si>
    <t>Layla Sanchez</t>
  </si>
  <si>
    <t>Skåne</t>
  </si>
  <si>
    <t>Coffee Maker</t>
  </si>
  <si>
    <t>Eli</t>
  </si>
  <si>
    <t>Mason Morris</t>
  </si>
  <si>
    <t>Västra Götaland</t>
  </si>
  <si>
    <t>Blender</t>
  </si>
  <si>
    <t>David</t>
  </si>
  <si>
    <t>Penelope Rogers</t>
  </si>
  <si>
    <t>Uppsala County</t>
  </si>
  <si>
    <t>Toaster</t>
  </si>
  <si>
    <t>Wesley</t>
  </si>
  <si>
    <t>Logan Reed</t>
  </si>
  <si>
    <t>Oslo</t>
  </si>
  <si>
    <t>Rice Cooker</t>
  </si>
  <si>
    <t>Jonathan</t>
  </si>
  <si>
    <t>Riley Cook</t>
  </si>
  <si>
    <t>Vestland</t>
  </si>
  <si>
    <t>Food Processor</t>
  </si>
  <si>
    <t>Connor</t>
  </si>
  <si>
    <t>Jackson Morgan</t>
  </si>
  <si>
    <t>Trøndelag</t>
  </si>
  <si>
    <t>Stand Mixer</t>
  </si>
  <si>
    <t>Everett</t>
  </si>
  <si>
    <t>Zoey Bell</t>
  </si>
  <si>
    <t>Nordland</t>
  </si>
  <si>
    <t>Air Fryer</t>
  </si>
  <si>
    <t>Micah</t>
  </si>
  <si>
    <t>Sebastian Murphy</t>
  </si>
  <si>
    <t>Slow Cooker</t>
  </si>
  <si>
    <t>Ian</t>
  </si>
  <si>
    <t>Nora Bailey</t>
  </si>
  <si>
    <t>Lapland</t>
  </si>
  <si>
    <t>Adam</t>
  </si>
  <si>
    <t>Jack Rivera</t>
  </si>
  <si>
    <t>Pirkanmaa</t>
  </si>
  <si>
    <t>Dinner Plates</t>
  </si>
  <si>
    <t>Maya</t>
  </si>
  <si>
    <t>Camila Cooper</t>
  </si>
  <si>
    <t>North Karelia</t>
  </si>
  <si>
    <t>Bowls</t>
  </si>
  <si>
    <t>Olivia</t>
  </si>
  <si>
    <t>Owen Richardson</t>
  </si>
  <si>
    <t>Zealand</t>
  </si>
  <si>
    <t>Drinking Glasses</t>
  </si>
  <si>
    <t>Emma</t>
  </si>
  <si>
    <t>Ellie Cox</t>
  </si>
  <si>
    <t>Jutland</t>
  </si>
  <si>
    <t>Amelia</t>
  </si>
  <si>
    <t>Henry Howard</t>
  </si>
  <si>
    <t>Funen</t>
  </si>
  <si>
    <t>Cutlery Set</t>
  </si>
  <si>
    <t>Sophia</t>
  </si>
  <si>
    <t>Eleanor Ward</t>
  </si>
  <si>
    <t>Capital Region</t>
  </si>
  <si>
    <t>Frying Pan</t>
  </si>
  <si>
    <t>Isabella</t>
  </si>
  <si>
    <t>Wyatt Torres</t>
  </si>
  <si>
    <t>Saucepan</t>
  </si>
  <si>
    <t>Ava</t>
  </si>
  <si>
    <t>Hazel Peterson</t>
  </si>
  <si>
    <t>Occitanie</t>
  </si>
  <si>
    <t>Cooking Pot</t>
  </si>
  <si>
    <t>Mia</t>
  </si>
  <si>
    <t>Levi Gray</t>
  </si>
  <si>
    <t>Baking Tray</t>
  </si>
  <si>
    <t>Bakeware</t>
  </si>
  <si>
    <t>Evelyn</t>
  </si>
  <si>
    <t>Violet Ramirez</t>
  </si>
  <si>
    <t>Alsace</t>
  </si>
  <si>
    <t>Cutting Board</t>
  </si>
  <si>
    <t>Luna</t>
  </si>
  <si>
    <t>Isaac James</t>
  </si>
  <si>
    <t>Kitchen Knife</t>
  </si>
  <si>
    <t>Harper</t>
  </si>
  <si>
    <t>Aurora Watson</t>
  </si>
  <si>
    <t>Loire Valley</t>
  </si>
  <si>
    <t>Measuring Cups</t>
  </si>
  <si>
    <t>Camila</t>
  </si>
  <si>
    <t>Gabriel Brooks</t>
  </si>
  <si>
    <t>Sofia</t>
  </si>
  <si>
    <t>Savannah Kelly</t>
  </si>
  <si>
    <t>Water Bottle</t>
  </si>
  <si>
    <t>Scarlett</t>
  </si>
  <si>
    <t>Julian Sanders</t>
  </si>
  <si>
    <t>Lunch Box</t>
  </si>
  <si>
    <t>Food Storage</t>
  </si>
  <si>
    <t>Elizabeth</t>
  </si>
  <si>
    <t>Audrey Price</t>
  </si>
  <si>
    <t>Lazio</t>
  </si>
  <si>
    <t>Eleanor</t>
  </si>
  <si>
    <t>Leo Bennett</t>
  </si>
  <si>
    <t>Apulia</t>
  </si>
  <si>
    <t>Emily</t>
  </si>
  <si>
    <t>Claire Wood</t>
  </si>
  <si>
    <t>Campania</t>
  </si>
  <si>
    <t>Coffee Table</t>
  </si>
  <si>
    <t>Chloe</t>
  </si>
  <si>
    <t>Mateo Barnes</t>
  </si>
  <si>
    <t>Dining Table</t>
  </si>
  <si>
    <t>Mila</t>
  </si>
  <si>
    <t>Skylar Ross</t>
  </si>
  <si>
    <t>Dining Chair</t>
  </si>
  <si>
    <t>Violet</t>
  </si>
  <si>
    <t>Anthony Henderson</t>
  </si>
  <si>
    <t>Madrid</t>
  </si>
  <si>
    <t>Office Chair</t>
  </si>
  <si>
    <t>Office Furniture</t>
  </si>
  <si>
    <t>Penelope</t>
  </si>
  <si>
    <t>Lucy Coleman</t>
  </si>
  <si>
    <t>Valencia</t>
  </si>
  <si>
    <t>Desk</t>
  </si>
  <si>
    <t>Gianna</t>
  </si>
  <si>
    <t>Dylan Jenkins</t>
  </si>
  <si>
    <t>Murcia</t>
  </si>
  <si>
    <t>Bookshelf</t>
  </si>
  <si>
    <t>Storage Furniture</t>
  </si>
  <si>
    <t>Aria</t>
  </si>
  <si>
    <t>Stella Perry</t>
  </si>
  <si>
    <t>Castile And León</t>
  </si>
  <si>
    <t>Wardrobe</t>
  </si>
  <si>
    <t>Bedroom Furniture</t>
  </si>
  <si>
    <t>Abigail</t>
  </si>
  <si>
    <t>Lincoln Powell</t>
  </si>
  <si>
    <t>Lisbon Region</t>
  </si>
  <si>
    <t>Bed Frame</t>
  </si>
  <si>
    <t>Ella</t>
  </si>
  <si>
    <t>Maya Long</t>
  </si>
  <si>
    <t>Norte</t>
  </si>
  <si>
    <t>Mattress</t>
  </si>
  <si>
    <t>Bedding</t>
  </si>
  <si>
    <t>Avery</t>
  </si>
  <si>
    <t>Christopher Patterson</t>
  </si>
  <si>
    <t>Algarve</t>
  </si>
  <si>
    <t>Pillow</t>
  </si>
  <si>
    <t>Lily</t>
  </si>
  <si>
    <t>Naomi Hughes</t>
  </si>
  <si>
    <t>Alentejo</t>
  </si>
  <si>
    <t>Blanket</t>
  </si>
  <si>
    <t>Aurora</t>
  </si>
  <si>
    <t>Nathan Flores</t>
  </si>
  <si>
    <t>Athens</t>
  </si>
  <si>
    <t>Bedsheet Set</t>
  </si>
  <si>
    <t>Nova</t>
  </si>
  <si>
    <t>Elena Washington</t>
  </si>
  <si>
    <t>Central Macedonia</t>
  </si>
  <si>
    <t>Duvet</t>
  </si>
  <si>
    <t>Ellie</t>
  </si>
  <si>
    <t>Caleb Butler</t>
  </si>
  <si>
    <t>Crete</t>
  </si>
  <si>
    <t>Curtains</t>
  </si>
  <si>
    <t>Home Decor</t>
  </si>
  <si>
    <t>Grace</t>
  </si>
  <si>
    <t>Alice Simmons</t>
  </si>
  <si>
    <t>Thessaly</t>
  </si>
  <si>
    <t>Area Rug</t>
  </si>
  <si>
    <t>Hazel</t>
  </si>
  <si>
    <t>Adrian Foster</t>
  </si>
  <si>
    <t>Transylvania</t>
  </si>
  <si>
    <t>Floor Lamp</t>
  </si>
  <si>
    <t>Lighting</t>
  </si>
  <si>
    <t>Willow</t>
  </si>
  <si>
    <t>Ruby Gonzales</t>
  </si>
  <si>
    <t>Wallachia</t>
  </si>
  <si>
    <t>Table Lamp</t>
  </si>
  <si>
    <t>Emilia</t>
  </si>
  <si>
    <t>Nolan Bryant</t>
  </si>
  <si>
    <t>Moldavia</t>
  </si>
  <si>
    <t>Wall Clock</t>
  </si>
  <si>
    <t>Ivy</t>
  </si>
  <si>
    <t>Ivy Alexander</t>
  </si>
  <si>
    <t>Bucharest-Ilfov</t>
  </si>
  <si>
    <t>Mirror</t>
  </si>
  <si>
    <t>Everly</t>
  </si>
  <si>
    <t>Cameron Russell</t>
  </si>
  <si>
    <t>Masovia</t>
  </si>
  <si>
    <t>Picture Frame</t>
  </si>
  <si>
    <t>Isla</t>
  </si>
  <si>
    <t>Sophie Griffin</t>
  </si>
  <si>
    <t>Wall Art</t>
  </si>
  <si>
    <t>Eliana</t>
  </si>
  <si>
    <t>Aaron Diaz</t>
  </si>
  <si>
    <t>Silesia</t>
  </si>
  <si>
    <t>Candle</t>
  </si>
  <si>
    <t>Home Fragrance</t>
  </si>
  <si>
    <t>Naomi</t>
  </si>
  <si>
    <t>Bella Hayes</t>
  </si>
  <si>
    <t>Pomerania</t>
  </si>
  <si>
    <t>Reed Diffuser</t>
  </si>
  <si>
    <t>Elena</t>
  </si>
  <si>
    <t>Connor Myers</t>
  </si>
  <si>
    <t>Bohemia</t>
  </si>
  <si>
    <t>T-Shirt</t>
  </si>
  <si>
    <t>Layla</t>
  </si>
  <si>
    <t>Sadie Ford</t>
  </si>
  <si>
    <t>Moravia</t>
  </si>
  <si>
    <t>Shirt</t>
  </si>
  <si>
    <t>Clara</t>
  </si>
  <si>
    <t>Jeremiah Hamilton</t>
  </si>
  <si>
    <t>Prague</t>
  </si>
  <si>
    <t>Jeans</t>
  </si>
  <si>
    <t>Lucy</t>
  </si>
  <si>
    <t>Lydia Graham</t>
  </si>
  <si>
    <t>South Moravia</t>
  </si>
  <si>
    <t>Trousers</t>
  </si>
  <si>
    <t>Paisley</t>
  </si>
  <si>
    <t>Evan Sullivan</t>
  </si>
  <si>
    <t>Shorts</t>
  </si>
  <si>
    <t>Athena</t>
  </si>
  <si>
    <t>Julia Wallace</t>
  </si>
  <si>
    <t>Hoodie</t>
  </si>
  <si>
    <t>Natalie</t>
  </si>
  <si>
    <t>Adam Woods</t>
  </si>
  <si>
    <t>Sweater</t>
  </si>
  <si>
    <t>Allison</t>
  </si>
  <si>
    <t>Caroline Cole</t>
  </si>
  <si>
    <t>Dalmatia</t>
  </si>
  <si>
    <t>Jacket</t>
  </si>
  <si>
    <t>Outerwear</t>
  </si>
  <si>
    <t>Ruby</t>
  </si>
  <si>
    <t>Christian West</t>
  </si>
  <si>
    <t>Istria</t>
  </si>
  <si>
    <t>Coat</t>
  </si>
  <si>
    <t>Anna</t>
  </si>
  <si>
    <t>Madeline Jordan</t>
  </si>
  <si>
    <t>Slavonia</t>
  </si>
  <si>
    <t>Dress</t>
  </si>
  <si>
    <t>Iris</t>
  </si>
  <si>
    <t>Jonathan Owens</t>
  </si>
  <si>
    <t>Vojvodina</t>
  </si>
  <si>
    <t>Skirt</t>
  </si>
  <si>
    <t>Bella</t>
  </si>
  <si>
    <t>Natalie Reynolds</t>
  </si>
  <si>
    <t>Šumadija</t>
  </si>
  <si>
    <t>Blazer</t>
  </si>
  <si>
    <t>Formalwear</t>
  </si>
  <si>
    <t>Claire</t>
  </si>
  <si>
    <t>Charles Fisher</t>
  </si>
  <si>
    <t>Kosovo</t>
  </si>
  <si>
    <t>Suit</t>
  </si>
  <si>
    <t>Alice</t>
  </si>
  <si>
    <t>Kennedy Ellis</t>
  </si>
  <si>
    <t>Macedonia</t>
  </si>
  <si>
    <t>Tracksuit</t>
  </si>
  <si>
    <t>Sportswear</t>
  </si>
  <si>
    <t>Cora</t>
  </si>
  <si>
    <t>Isaiah Harrison</t>
  </si>
  <si>
    <t>Peloponnese</t>
  </si>
  <si>
    <t>Sports Bra</t>
  </si>
  <si>
    <t>Madeline</t>
  </si>
  <si>
    <t>Sarah Gibson</t>
  </si>
  <si>
    <t>Western Anatolia</t>
  </si>
  <si>
    <t>Leggings</t>
  </si>
  <si>
    <t>Josephine</t>
  </si>
  <si>
    <t>Dominic McDonald</t>
  </si>
  <si>
    <t>Cappadocia</t>
  </si>
  <si>
    <t>Swimwear</t>
  </si>
  <si>
    <t>Sadie</t>
  </si>
  <si>
    <t>Allison Cruz</t>
  </si>
  <si>
    <t>Black Sea Region</t>
  </si>
  <si>
    <t>Socks</t>
  </si>
  <si>
    <t>Delilah</t>
  </si>
  <si>
    <t>Austin Marshall</t>
  </si>
  <si>
    <t>Marmara Region</t>
  </si>
  <si>
    <t>Underwear</t>
  </si>
  <si>
    <t>Caroline</t>
  </si>
  <si>
    <t>Gabriella Ortiz</t>
  </si>
  <si>
    <t>Central Anatolia</t>
  </si>
  <si>
    <t>Scarf</t>
  </si>
  <si>
    <t>Accessories</t>
  </si>
  <si>
    <t>Vivian</t>
  </si>
  <si>
    <t>Robert Gomez</t>
  </si>
  <si>
    <t>Punjab</t>
  </si>
  <si>
    <t>Sneakers</t>
  </si>
  <si>
    <t>Audrey</t>
  </si>
  <si>
    <t>Valentina Murray</t>
  </si>
  <si>
    <t>Sindh</t>
  </si>
  <si>
    <t>Boots</t>
  </si>
  <si>
    <t>Nevaeh</t>
  </si>
  <si>
    <t>Thomas Freeman</t>
  </si>
  <si>
    <t>Balochistan</t>
  </si>
  <si>
    <t>Sandals</t>
  </si>
  <si>
    <t>Serenity</t>
  </si>
  <si>
    <t>Jasmine Wells</t>
  </si>
  <si>
    <t>Khyber Pakhtunkhwa</t>
  </si>
  <si>
    <t>Slippers</t>
  </si>
  <si>
    <t>Kennedy</t>
  </si>
  <si>
    <t>Nathaniel Webb</t>
  </si>
  <si>
    <t>Rajasthan</t>
  </si>
  <si>
    <t>Dress Shoes</t>
  </si>
  <si>
    <t>Valentina</t>
  </si>
  <si>
    <t>Katherine Simpson</t>
  </si>
  <si>
    <t>Gujarat</t>
  </si>
  <si>
    <t>Running Shoes</t>
  </si>
  <si>
    <t>Madelyn</t>
  </si>
  <si>
    <t>Miles Stevens</t>
  </si>
  <si>
    <t>Maharashtra</t>
  </si>
  <si>
    <t>Baseball Cap</t>
  </si>
  <si>
    <t>Raelynn</t>
  </si>
  <si>
    <t>Melanie Tucker</t>
  </si>
  <si>
    <t>Kerala</t>
  </si>
  <si>
    <t>Beanie</t>
  </si>
  <si>
    <t>Piper</t>
  </si>
  <si>
    <t>Jason Porter</t>
  </si>
  <si>
    <t>Tamil Nadu</t>
  </si>
  <si>
    <t>Belt</t>
  </si>
  <si>
    <t>Lydia</t>
  </si>
  <si>
    <t>Ariana Hunter</t>
  </si>
  <si>
    <t>Karnataka</t>
  </si>
  <si>
    <t>Wallet</t>
  </si>
  <si>
    <t>Jade</t>
  </si>
  <si>
    <t>Brandon Hicks</t>
  </si>
  <si>
    <t>West Bengal</t>
  </si>
  <si>
    <t>Handbag</t>
  </si>
  <si>
    <t>Bags</t>
  </si>
  <si>
    <t>Arya</t>
  </si>
  <si>
    <t>Cecilia Crawford</t>
  </si>
  <si>
    <t>Uttar Pradesh</t>
  </si>
  <si>
    <t>Backpack</t>
  </si>
  <si>
    <t>Sophie</t>
  </si>
  <si>
    <t>Kevin Henry</t>
  </si>
  <si>
    <t>Hokkaido</t>
  </si>
  <si>
    <t>Melanie</t>
  </si>
  <si>
    <t>Delilah Boyd</t>
  </si>
  <si>
    <t>Tohoku</t>
  </si>
  <si>
    <t>Travel Bag</t>
  </si>
  <si>
    <t>Julia</t>
  </si>
  <si>
    <t>Brian Mason</t>
  </si>
  <si>
    <t>Kanto</t>
  </si>
  <si>
    <t>Umbrella</t>
  </si>
  <si>
    <t>Rose</t>
  </si>
  <si>
    <t>Piper Morales</t>
  </si>
  <si>
    <t>Chubu</t>
  </si>
  <si>
    <t>Sunglasses</t>
  </si>
  <si>
    <t>Eyewear</t>
  </si>
  <si>
    <t>Maria</t>
  </si>
  <si>
    <t>Eric Kennedy</t>
  </si>
  <si>
    <t>Kansai</t>
  </si>
  <si>
    <t>Wristwatch</t>
  </si>
  <si>
    <t>Watches</t>
  </si>
  <si>
    <t>Daisy</t>
  </si>
  <si>
    <t>Jade Warren</t>
  </si>
  <si>
    <t>Chugoku</t>
  </si>
  <si>
    <t>Necklace</t>
  </si>
  <si>
    <t>Jasmine</t>
  </si>
  <si>
    <t>Justin Dixon</t>
  </si>
  <si>
    <t>Shikoku</t>
  </si>
  <si>
    <t>Faith</t>
  </si>
  <si>
    <t>Rose Riley</t>
  </si>
  <si>
    <t>Kyushu</t>
  </si>
  <si>
    <t>Earrings</t>
  </si>
  <si>
    <t>Eden</t>
  </si>
  <si>
    <t>Steven Ramos</t>
  </si>
  <si>
    <t>Seoul Capital Area</t>
  </si>
  <si>
    <t>Ring</t>
  </si>
  <si>
    <t>Skylar</t>
  </si>
  <si>
    <t>Cora Reyes</t>
  </si>
  <si>
    <t>Jeju</t>
  </si>
  <si>
    <t>Hair Dryer</t>
  </si>
  <si>
    <t>Summer</t>
  </si>
  <si>
    <t>Timothy Burns</t>
  </si>
  <si>
    <t>Gangwon</t>
  </si>
  <si>
    <t>Hair Straightener</t>
  </si>
  <si>
    <t>Beauty Appliances</t>
  </si>
  <si>
    <t>Autumn</t>
  </si>
  <si>
    <t>Paige Gordon</t>
  </si>
  <si>
    <t>Gyeongsang</t>
  </si>
  <si>
    <t>Hair Curler</t>
  </si>
  <si>
    <t>Brooke</t>
  </si>
  <si>
    <t>Patrick Shaw</t>
  </si>
  <si>
    <t>Guangdong</t>
  </si>
  <si>
    <t>Electric Shaver</t>
  </si>
  <si>
    <t>Grooming</t>
  </si>
  <si>
    <t>Paige</t>
  </si>
  <si>
    <t>Eden Holmes</t>
  </si>
  <si>
    <t>Sichuan</t>
  </si>
  <si>
    <t>Beard Trimmer</t>
  </si>
  <si>
    <t>Sienna</t>
  </si>
  <si>
    <t>Jeffrey Rice</t>
  </si>
  <si>
    <t>Yunnan</t>
  </si>
  <si>
    <t>Toothbrush</t>
  </si>
  <si>
    <t>Freya</t>
  </si>
  <si>
    <t>Faith Robertson</t>
  </si>
  <si>
    <t>Zhejiang</t>
  </si>
  <si>
    <t>Electric Toothbrush</t>
  </si>
  <si>
    <t>Layne</t>
  </si>
  <si>
    <t>Gregory Hunt</t>
  </si>
  <si>
    <t>Jiangsu</t>
  </si>
  <si>
    <t>Hair Shampoo</t>
  </si>
  <si>
    <t>Hair Care</t>
  </si>
  <si>
    <t>Tessa</t>
  </si>
  <si>
    <t>Clara Black</t>
  </si>
  <si>
    <t>Fujian</t>
  </si>
  <si>
    <t>Conditioner</t>
  </si>
  <si>
    <t>Wren</t>
  </si>
  <si>
    <t>Scott Daniels</t>
  </si>
  <si>
    <t>Hunan</t>
  </si>
  <si>
    <t>Face Wash</t>
  </si>
  <si>
    <t>Skincare</t>
  </si>
  <si>
    <t>Zayn</t>
  </si>
  <si>
    <t>Maria Palmer</t>
  </si>
  <si>
    <t>Hubei</t>
  </si>
  <si>
    <t>Moisturizer</t>
  </si>
  <si>
    <t>Kai</t>
  </si>
  <si>
    <t>Jonathan Mills</t>
  </si>
  <si>
    <t>Xinjiang</t>
  </si>
  <si>
    <t>Sunscreen</t>
  </si>
  <si>
    <t>Jaxon</t>
  </si>
  <si>
    <t>Daisy Nichols</t>
  </si>
  <si>
    <t>Inner Mongolia</t>
  </si>
  <si>
    <t>Lip Balm</t>
  </si>
  <si>
    <t>Roman</t>
  </si>
  <si>
    <t>Mark Grant</t>
  </si>
  <si>
    <t>Western Australia</t>
  </si>
  <si>
    <t>Body Lotion</t>
  </si>
  <si>
    <t>Axel</t>
  </si>
  <si>
    <t>Jasmine Knight</t>
  </si>
  <si>
    <t>New South Wales</t>
  </si>
  <si>
    <t>Perfume</t>
  </si>
  <si>
    <t>Fragrance</t>
  </si>
  <si>
    <t>Finn</t>
  </si>
  <si>
    <t>Kenneth Ferguson</t>
  </si>
  <si>
    <t>Victoria</t>
  </si>
  <si>
    <t>Deodorant</t>
  </si>
  <si>
    <t>Cole</t>
  </si>
  <si>
    <t>Athena Rose</t>
  </si>
  <si>
    <t>Queensland</t>
  </si>
  <si>
    <t>Makeup Foundation</t>
  </si>
  <si>
    <t>Blake</t>
  </si>
  <si>
    <t>Paul Rose</t>
  </si>
  <si>
    <t>South Australia</t>
  </si>
  <si>
    <t>Mascara</t>
  </si>
  <si>
    <t>Chase</t>
  </si>
  <si>
    <t>Iris Stone</t>
  </si>
  <si>
    <t>Tasmania</t>
  </si>
  <si>
    <t>Lipstick</t>
  </si>
  <si>
    <t>Max</t>
  </si>
  <si>
    <t>Raymond Hawkins</t>
  </si>
  <si>
    <t>Northern Territory</t>
  </si>
  <si>
    <t>Football</t>
  </si>
  <si>
    <t>Logan</t>
  </si>
  <si>
    <t>Sophie Dunn</t>
  </si>
  <si>
    <t>Auckland Region</t>
  </si>
  <si>
    <t>Basketball</t>
  </si>
  <si>
    <t>Dylan</t>
  </si>
  <si>
    <t>George Perkins</t>
  </si>
  <si>
    <t>Canterbury</t>
  </si>
  <si>
    <t>Tennis Racket</t>
  </si>
  <si>
    <t>Aiden</t>
  </si>
  <si>
    <t>Leah Hudson</t>
  </si>
  <si>
    <t>Otago</t>
  </si>
  <si>
    <t>Tennis Balls</t>
  </si>
  <si>
    <t>Carter</t>
  </si>
  <si>
    <t>Edward Spencer</t>
  </si>
  <si>
    <t>Waikato</t>
  </si>
  <si>
    <t>Badminton Racket</t>
  </si>
  <si>
    <t>Grayson</t>
  </si>
  <si>
    <t>Madelyn Gardner</t>
  </si>
  <si>
    <t>Wellington Region</t>
  </si>
  <si>
    <t>Shuttlecock</t>
  </si>
  <si>
    <t>Wyatt</t>
  </si>
  <si>
    <t>Frank Stephens</t>
  </si>
  <si>
    <t>São Paulo</t>
  </si>
  <si>
    <t>Yoga Mat</t>
  </si>
  <si>
    <t>Easton</t>
  </si>
  <si>
    <t>Vivian Payne</t>
  </si>
  <si>
    <t>Rio De Janeiro</t>
  </si>
  <si>
    <t>Dumbbells</t>
  </si>
  <si>
    <t>Cooper</t>
  </si>
  <si>
    <t>Dennis Pierce</t>
  </si>
  <si>
    <t>Minas Gerais</t>
  </si>
  <si>
    <t>Resistance Bands</t>
  </si>
  <si>
    <t>Parker</t>
  </si>
  <si>
    <t>Anna Berry</t>
  </si>
  <si>
    <t>Bahia</t>
  </si>
  <si>
    <t>Exercise Bike</t>
  </si>
  <si>
    <t>Fitness Equipment</t>
  </si>
  <si>
    <t>Sawyer</t>
  </si>
  <si>
    <t>Jerry Matthews</t>
  </si>
  <si>
    <t>Paraná</t>
  </si>
  <si>
    <t>Treadmill</t>
  </si>
  <si>
    <t>Rowan</t>
  </si>
  <si>
    <t>Willow Arnold</t>
  </si>
  <si>
    <t>Pernambuco</t>
  </si>
  <si>
    <t>Camping Tent</t>
  </si>
  <si>
    <t>River</t>
  </si>
  <si>
    <t>Aaron Wagner</t>
  </si>
  <si>
    <t>Amazonas</t>
  </si>
  <si>
    <t>Sleeping Bag</t>
  </si>
  <si>
    <t>Phoenix</t>
  </si>
  <si>
    <t>Elena Willis</t>
  </si>
  <si>
    <t>Ceará</t>
  </si>
  <si>
    <t>Hiking Backpack</t>
  </si>
  <si>
    <t>Jordan</t>
  </si>
  <si>
    <t>Peter Ray</t>
  </si>
  <si>
    <t>Buenos Aires Province</t>
  </si>
  <si>
    <t>Camping Chair</t>
  </si>
  <si>
    <t>Riley</t>
  </si>
  <si>
    <t>Sarah Watkins</t>
  </si>
  <si>
    <t>Córdoba Province</t>
  </si>
  <si>
    <t>Bicycle</t>
  </si>
  <si>
    <t>Cycling</t>
  </si>
  <si>
    <t>Taylor</t>
  </si>
  <si>
    <t>Kyle Olson</t>
  </si>
  <si>
    <t>Mendoza Province</t>
  </si>
  <si>
    <t>Bicycle Helmet</t>
  </si>
  <si>
    <t>Morgan</t>
  </si>
  <si>
    <t>Naomi Carroll</t>
  </si>
  <si>
    <t>Patagonia</t>
  </si>
  <si>
    <t>Skateboard</t>
  </si>
  <si>
    <t>Outdoor Sports</t>
  </si>
  <si>
    <t>Quinn</t>
  </si>
  <si>
    <t>Brian Duncan</t>
  </si>
  <si>
    <t>Santiago Metropolitan Region</t>
  </si>
  <si>
    <t>Fishing Rod</t>
  </si>
  <si>
    <t>Fishing</t>
  </si>
  <si>
    <t>Reese</t>
  </si>
  <si>
    <t>Rebecca Snyder</t>
  </si>
  <si>
    <t>Golf Clubs</t>
  </si>
  <si>
    <t>Charlie</t>
  </si>
  <si>
    <t>Sean Hart</t>
  </si>
  <si>
    <t>Lima Region</t>
  </si>
  <si>
    <t>Notebook</t>
  </si>
  <si>
    <t>Finley</t>
  </si>
  <si>
    <t>Clara Cunningham</t>
  </si>
  <si>
    <t>Cusco Region</t>
  </si>
  <si>
    <t>Notebook Computer Stand</t>
  </si>
  <si>
    <t>Office Accessories</t>
  </si>
  <si>
    <t>Hayden</t>
  </si>
  <si>
    <t>Derek Bradley</t>
  </si>
  <si>
    <t>Arequipa Region</t>
  </si>
  <si>
    <t>Ballpoint Pen</t>
  </si>
  <si>
    <t>Emerson</t>
  </si>
  <si>
    <t>Lydia Lane</t>
  </si>
  <si>
    <t>Antioquia</t>
  </si>
  <si>
    <t>Dakota</t>
  </si>
  <si>
    <t>Jason Andrews</t>
  </si>
  <si>
    <t>Pencil</t>
  </si>
  <si>
    <t>Marley</t>
  </si>
  <si>
    <t>Isabelle Ruiz</t>
  </si>
  <si>
    <t>Bolívar</t>
  </si>
  <si>
    <t>Marker Set</t>
  </si>
  <si>
    <t>Sydney</t>
  </si>
  <si>
    <t>Marcus Harper</t>
  </si>
  <si>
    <t>Gauteng</t>
  </si>
  <si>
    <t>Colored Pencils</t>
  </si>
  <si>
    <t>Art Supplies</t>
  </si>
  <si>
    <t>Casey</t>
  </si>
  <si>
    <t>Eva Fox</t>
  </si>
  <si>
    <t>Western Cape</t>
  </si>
  <si>
    <t>Paint Set</t>
  </si>
  <si>
    <t>Alex</t>
  </si>
  <si>
    <t>Steven Riley</t>
  </si>
  <si>
    <t>Kwazulu-Natal</t>
  </si>
  <si>
    <t>Sketchbook</t>
  </si>
  <si>
    <t>Jamie</t>
  </si>
  <si>
    <t>Molly Armstrong</t>
  </si>
  <si>
    <t>Calculator</t>
  </si>
  <si>
    <t>Jesse</t>
  </si>
  <si>
    <t>Jordan Carpenter</t>
  </si>
  <si>
    <t>Cairo Governorate</t>
  </si>
  <si>
    <t>Stapler</t>
  </si>
  <si>
    <t>Robin</t>
  </si>
  <si>
    <t>Amy Weaver</t>
  </si>
  <si>
    <t>Alexandria Governorate</t>
  </si>
  <si>
    <t>Paper Clips</t>
  </si>
  <si>
    <t>Sage</t>
  </si>
  <si>
    <t>Kevin Greene</t>
  </si>
  <si>
    <t>Giza Governorate</t>
  </si>
  <si>
    <t>File Folder</t>
  </si>
  <si>
    <t>Lennon</t>
  </si>
  <si>
    <t>Rose Lawrence</t>
  </si>
  <si>
    <t>Nairobi County</t>
  </si>
  <si>
    <t>Desk Organizer</t>
  </si>
  <si>
    <t>Shiloh</t>
  </si>
  <si>
    <t>Alex Elliott</t>
  </si>
  <si>
    <t>Mombasa County</t>
  </si>
  <si>
    <t>Whiteboard</t>
  </si>
  <si>
    <t>Remy</t>
  </si>
  <si>
    <t>Lucy Chapman</t>
  </si>
  <si>
    <t>Casablanca-Settat</t>
  </si>
  <si>
    <t>Printer Paper</t>
  </si>
  <si>
    <t>Frankie</t>
  </si>
  <si>
    <t>Daniel Hudson</t>
  </si>
  <si>
    <t>Marrakesh-Safi</t>
  </si>
  <si>
    <t>Glue Stick</t>
  </si>
  <si>
    <t>School Supplies</t>
  </si>
  <si>
    <t>Stevie</t>
  </si>
  <si>
    <t>Sophie Owens</t>
  </si>
  <si>
    <t>Lagos State</t>
  </si>
  <si>
    <t>Scissors</t>
  </si>
  <si>
    <t>Blair</t>
  </si>
  <si>
    <t>Matthew Johnston</t>
  </si>
  <si>
    <t>Accra Region</t>
  </si>
  <si>
    <t>Aspen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</si>
</sst>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2" borderId="0" xfId="0" applyFill="1"/>
    <xf numFmtId="10" fontId="0" fillId="0" borderId="0" xfId="0" applyNumberFormat="1"/>
  </cellXfs>
  <cellStyles count="1">
    <cellStyle name="Normal" xfId="0" builtinId="0"/>
  </cellStyles>
  <dxfs count="2">
    <dxf>
      <numFmt numFmtId="165" formatCode="yyyy\-mm\-dd\ hh:mm:ss"/>
    </dxf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[cleaned_sales_data.xlsx]Sheet2!PivotTable5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Sheet2!$E$5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Sheet2!$D$6:$D$18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Sheet2!$E$6:$E$18</c:f>
              <c:numCache>
                <c:formatCode>General</c:formatCode>
                <c:ptCount val="12"/>
                <c:pt idx="0">
                  <c:v>177098.94</c:v>
                </c:pt>
                <c:pt idx="1">
                  <c:v>135823.4</c:v>
                </c:pt>
                <c:pt idx="2">
                  <c:v>202314.40000000002</c:v>
                </c:pt>
                <c:pt idx="3">
                  <c:v>56509.06</c:v>
                </c:pt>
                <c:pt idx="4">
                  <c:v>124810.92</c:v>
                </c:pt>
                <c:pt idx="5">
                  <c:v>7866.54</c:v>
                </c:pt>
                <c:pt idx="6">
                  <c:v>70358.390000000014</c:v>
                </c:pt>
                <c:pt idx="7">
                  <c:v>17626.760000000002</c:v>
                </c:pt>
                <c:pt idx="8">
                  <c:v>105991.34000000001</c:v>
                </c:pt>
                <c:pt idx="9">
                  <c:v>116384.26999999999</c:v>
                </c:pt>
                <c:pt idx="10">
                  <c:v>13555.5</c:v>
                </c:pt>
                <c:pt idx="11">
                  <c:v>47662.3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22-4F6E-AA0C-73D062AF3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475144"/>
        <c:axId val="976477192"/>
      </c:lineChart>
      <c:catAx>
        <c:axId val="976475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477192"/>
        <c:crosses val="autoZero"/>
        <c:auto val="1"/>
        <c:lblAlgn val="ctr"/>
        <c:lblOffset val="100"/>
        <c:noMultiLvlLbl val="0"/>
      </c:catAx>
      <c:valAx>
        <c:axId val="976477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475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[cleaned_sales_data.xlsx]Sheet2!PivotTable6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Sheet2!$H$5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Sheet2!$G$6:$G$16</c:f>
              <c:strCache>
                <c:ptCount val="10"/>
                <c:pt idx="0">
                  <c:v>Zurich</c:v>
                </c:pt>
                <c:pt idx="1">
                  <c:v>Piedmont</c:v>
                </c:pt>
                <c:pt idx="2">
                  <c:v>Texas</c:v>
                </c:pt>
                <c:pt idx="3">
                  <c:v>Cundinamarca</c:v>
                </c:pt>
                <c:pt idx="4">
                  <c:v>Sardinia</c:v>
                </c:pt>
                <c:pt idx="5">
                  <c:v>Greater London</c:v>
                </c:pt>
                <c:pt idx="6">
                  <c:v>Valparaíso Region</c:v>
                </c:pt>
                <c:pt idx="7">
                  <c:v>Eastern Cape</c:v>
                </c:pt>
                <c:pt idx="8">
                  <c:v>Lesser Poland</c:v>
                </c:pt>
                <c:pt idx="9">
                  <c:v>Helsinki-Uusimaa</c:v>
                </c:pt>
              </c:strCache>
            </c:strRef>
          </c:cat>
          <c:val>
            <c:numRef>
              <c:f>Sheet2!$H$6:$H$16</c:f>
              <c:numCache>
                <c:formatCode>0.00%</c:formatCode>
                <c:ptCount val="10"/>
                <c:pt idx="0">
                  <c:v>0.1767047285841476</c:v>
                </c:pt>
                <c:pt idx="1">
                  <c:v>0.16778802644648816</c:v>
                </c:pt>
                <c:pt idx="2">
                  <c:v>0.14414153265105648</c:v>
                </c:pt>
                <c:pt idx="3">
                  <c:v>0.12870922294064088</c:v>
                </c:pt>
                <c:pt idx="4">
                  <c:v>0.11085639589182687</c:v>
                </c:pt>
                <c:pt idx="5">
                  <c:v>0.10004780567551763</c:v>
                </c:pt>
                <c:pt idx="6">
                  <c:v>9.5757938005072249E-2</c:v>
                </c:pt>
                <c:pt idx="7">
                  <c:v>5.4234980011950498E-2</c:v>
                </c:pt>
                <c:pt idx="8">
                  <c:v>1.2841018552230127E-2</c:v>
                </c:pt>
                <c:pt idx="9">
                  <c:v>8.9183512410694176E-3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4-4D57-B8E1-41B9F4E3C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8047752"/>
        <c:axId val="1198049800"/>
      </c:barChart>
      <c:catAx>
        <c:axId val="1198047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049800"/>
        <c:crosses val="autoZero"/>
        <c:auto val="1"/>
        <c:lblAlgn val="ctr"/>
        <c:lblOffset val="100"/>
        <c:noMultiLvlLbl val="0"/>
      </c:catAx>
      <c:valAx>
        <c:axId val="1198049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04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[cleaned_sales_data.xlsx]Sheet2!PivotTable7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Sheet2!$M$6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Sheet2!$L$7:$L$34</c:f>
              <c:strCache>
                <c:ptCount val="27"/>
                <c:pt idx="0">
                  <c:v>Electronics</c:v>
                </c:pt>
                <c:pt idx="1">
                  <c:v>Furniture</c:v>
                </c:pt>
                <c:pt idx="2">
                  <c:v>Kitchen Storage</c:v>
                </c:pt>
                <c:pt idx="3">
                  <c:v>Office Electronics</c:v>
                </c:pt>
                <c:pt idx="4">
                  <c:v>Kitchen Appliances</c:v>
                </c:pt>
                <c:pt idx="5">
                  <c:v>Travel</c:v>
                </c:pt>
                <c:pt idx="6">
                  <c:v>Stationery</c:v>
                </c:pt>
                <c:pt idx="7">
                  <c:v>Jewelry</c:v>
                </c:pt>
                <c:pt idx="8">
                  <c:v>Kitchen &amp; Dining</c:v>
                </c:pt>
                <c:pt idx="9">
                  <c:v>Makeup</c:v>
                </c:pt>
                <c:pt idx="10">
                  <c:v>Footwear</c:v>
                </c:pt>
                <c:pt idx="11">
                  <c:v>Sports</c:v>
                </c:pt>
                <c:pt idx="12">
                  <c:v>Outdoor</c:v>
                </c:pt>
                <c:pt idx="13">
                  <c:v>Fitness</c:v>
                </c:pt>
                <c:pt idx="14">
                  <c:v>unknown</c:v>
                </c:pt>
                <c:pt idx="15">
                  <c:v>Wearables</c:v>
                </c:pt>
                <c:pt idx="16">
                  <c:v>Kitchen Tools</c:v>
                </c:pt>
                <c:pt idx="17">
                  <c:v>Home Entertainment</c:v>
                </c:pt>
                <c:pt idx="18">
                  <c:v>Gaming</c:v>
                </c:pt>
                <c:pt idx="19">
                  <c:v>Personal Care</c:v>
                </c:pt>
                <c:pt idx="20">
                  <c:v>Cookware</c:v>
                </c:pt>
                <c:pt idx="21">
                  <c:v>Mobile Accessories</c:v>
                </c:pt>
                <c:pt idx="22">
                  <c:v>Drinkware</c:v>
                </c:pt>
                <c:pt idx="23">
                  <c:v>Smart Home</c:v>
                </c:pt>
                <c:pt idx="24">
                  <c:v>Golf</c:v>
                </c:pt>
                <c:pt idx="25">
                  <c:v>Office Supplies</c:v>
                </c:pt>
                <c:pt idx="26">
                  <c:v>Clothing</c:v>
                </c:pt>
              </c:strCache>
            </c:strRef>
          </c:cat>
          <c:val>
            <c:numRef>
              <c:f>Sheet2!$M$7:$M$34</c:f>
              <c:numCache>
                <c:formatCode>0.00%</c:formatCode>
                <c:ptCount val="27"/>
                <c:pt idx="0">
                  <c:v>0.1268188747115688</c:v>
                </c:pt>
                <c:pt idx="1">
                  <c:v>0.12108157958320184</c:v>
                </c:pt>
                <c:pt idx="2">
                  <c:v>0.11554274136822558</c:v>
                </c:pt>
                <c:pt idx="3">
                  <c:v>7.5570708607165749E-2</c:v>
                </c:pt>
                <c:pt idx="4">
                  <c:v>7.0812928550622739E-2</c:v>
                </c:pt>
                <c:pt idx="5">
                  <c:v>6.9469287700647211E-2</c:v>
                </c:pt>
                <c:pt idx="6">
                  <c:v>6.5644275583102665E-2</c:v>
                </c:pt>
                <c:pt idx="7">
                  <c:v>5.2889129871546141E-2</c:v>
                </c:pt>
                <c:pt idx="8">
                  <c:v>3.8828800494036336E-2</c:v>
                </c:pt>
                <c:pt idx="9">
                  <c:v>3.3187360222123055E-2</c:v>
                </c:pt>
                <c:pt idx="10">
                  <c:v>3.2886096791174581E-2</c:v>
                </c:pt>
                <c:pt idx="11">
                  <c:v>2.8349013387356542E-2</c:v>
                </c:pt>
                <c:pt idx="12">
                  <c:v>1.9748665480881809E-2</c:v>
                </c:pt>
                <c:pt idx="13">
                  <c:v>1.9028833984686015E-2</c:v>
                </c:pt>
                <c:pt idx="14">
                  <c:v>1.7266290497538382E-2</c:v>
                </c:pt>
                <c:pt idx="15">
                  <c:v>1.6283095134541688E-2</c:v>
                </c:pt>
                <c:pt idx="16">
                  <c:v>1.5611795154770279E-2</c:v>
                </c:pt>
                <c:pt idx="17">
                  <c:v>1.5443747111877563E-2</c:v>
                </c:pt>
                <c:pt idx="18">
                  <c:v>1.259802701820709E-2</c:v>
                </c:pt>
                <c:pt idx="19">
                  <c:v>1.1373493773458488E-2</c:v>
                </c:pt>
                <c:pt idx="20">
                  <c:v>1.0759052433573023E-2</c:v>
                </c:pt>
                <c:pt idx="21">
                  <c:v>8.9625127214004174E-3</c:v>
                </c:pt>
                <c:pt idx="22">
                  <c:v>8.5102551220591818E-3</c:v>
                </c:pt>
                <c:pt idx="23">
                  <c:v>5.074452383361211E-3</c:v>
                </c:pt>
                <c:pt idx="24">
                  <c:v>4.8568691082697237E-3</c:v>
                </c:pt>
                <c:pt idx="25">
                  <c:v>2.7508131910037111E-3</c:v>
                </c:pt>
                <c:pt idx="26">
                  <c:v>6.5130001360034888E-4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7-4C43-886F-A0F6F2195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1019144"/>
        <c:axId val="1621021192"/>
      </c:barChart>
      <c:catAx>
        <c:axId val="1621019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021192"/>
        <c:crosses val="autoZero"/>
        <c:auto val="1"/>
        <c:lblAlgn val="ctr"/>
        <c:lblOffset val="100"/>
        <c:noMultiLvlLbl val="0"/>
      </c:catAx>
      <c:valAx>
        <c:axId val="1621021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019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[cleaned_sales_data.xlsx]Sheet2!PivotTable8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Sheet2!$P$6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Sheet2!$O$7:$O$17</c:f>
              <c:strCache>
                <c:ptCount val="10"/>
                <c:pt idx="0">
                  <c:v>Armchair</c:v>
                </c:pt>
                <c:pt idx="1">
                  <c:v>Bracelet</c:v>
                </c:pt>
                <c:pt idx="2">
                  <c:v>Coffee Mugs</c:v>
                </c:pt>
                <c:pt idx="3">
                  <c:v>Desktop Computer</c:v>
                </c:pt>
                <c:pt idx="4">
                  <c:v>Food Storage Container</c:v>
                </c:pt>
                <c:pt idx="5">
                  <c:v>Fountain Pen</c:v>
                </c:pt>
                <c:pt idx="6">
                  <c:v>Juicer</c:v>
                </c:pt>
                <c:pt idx="7">
                  <c:v>Scanner</c:v>
                </c:pt>
                <c:pt idx="8">
                  <c:v>Sofa</c:v>
                </c:pt>
                <c:pt idx="9">
                  <c:v>Suitcase</c:v>
                </c:pt>
              </c:strCache>
            </c:strRef>
          </c:cat>
          <c:val>
            <c:numRef>
              <c:f>Sheet2!$P$7:$P$17</c:f>
              <c:numCache>
                <c:formatCode>General</c:formatCode>
                <c:ptCount val="10"/>
                <c:pt idx="0">
                  <c:v>88200</c:v>
                </c:pt>
                <c:pt idx="1">
                  <c:v>56908.800000000003</c:v>
                </c:pt>
                <c:pt idx="2">
                  <c:v>41779.859999999993</c:v>
                </c:pt>
                <c:pt idx="3">
                  <c:v>95175</c:v>
                </c:pt>
                <c:pt idx="4">
                  <c:v>124324.2</c:v>
                </c:pt>
                <c:pt idx="5">
                  <c:v>63609.040000000008</c:v>
                </c:pt>
                <c:pt idx="6">
                  <c:v>42622.780000000013</c:v>
                </c:pt>
                <c:pt idx="7">
                  <c:v>81314.22</c:v>
                </c:pt>
                <c:pt idx="8">
                  <c:v>36034</c:v>
                </c:pt>
                <c:pt idx="9">
                  <c:v>74749.08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0-47DD-B125-C49C5F5A4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2702856"/>
        <c:axId val="851878408"/>
      </c:barChart>
      <c:catAx>
        <c:axId val="1002702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78408"/>
        <c:crosses val="autoZero"/>
        <c:auto val="1"/>
        <c:lblAlgn val="ctr"/>
        <c:lblOffset val="100"/>
        <c:noMultiLvlLbl val="0"/>
      </c:catAx>
      <c:valAx>
        <c:axId val="851878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702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619125</xdr:colOff>
      <xdr:row>31</xdr:row>
      <xdr:rowOff>38100</xdr:rowOff>
    </xdr:from>
    <xdr:to>
      <xdr:col>5</xdr:col>
      <xdr:colOff>561975</xdr:colOff>
      <xdr:row>42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0D7C90-E4B7-B32B-FEA1-E3AB80F0E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676275</xdr:colOff>
      <xdr:row>29</xdr:row>
      <xdr:rowOff>123825</xdr:rowOff>
    </xdr:from>
    <xdr:to>
      <xdr:col>11</xdr:col>
      <xdr:colOff>523875</xdr:colOff>
      <xdr:row>44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136F65-B947-4620-3154-2175B960D776}"/>
            </a:ext>
            <a:ext uri="{147F2762-F138-4A5C-976F-8EAC2B608ADB}">
              <a16:predDERef xmlns:a16="http://schemas.microsoft.com/office/drawing/2014/main" pred="{7B0D7C90-E4B7-B32B-FEA1-E3AB80F0E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1047750</xdr:colOff>
      <xdr:row>30</xdr:row>
      <xdr:rowOff>133350</xdr:rowOff>
    </xdr:from>
    <xdr:to>
      <xdr:col>14</xdr:col>
      <xdr:colOff>962025</xdr:colOff>
      <xdr:row>44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A4EF24-F9BE-19F8-A15F-F155795A25F3}"/>
            </a:ext>
            <a:ext uri="{147F2762-F138-4A5C-976F-8EAC2B608ADB}">
              <a16:predDERef xmlns:a16="http://schemas.microsoft.com/office/drawing/2014/main" pred="{D7136F65-B947-4620-3154-2175B960D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1295400</xdr:colOff>
      <xdr:row>30</xdr:row>
      <xdr:rowOff>142875</xdr:rowOff>
    </xdr:from>
    <xdr:to>
      <xdr:col>19</xdr:col>
      <xdr:colOff>600075</xdr:colOff>
      <xdr:row>43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8F43FB-60EA-C861-7A18-C9B997D9D3C7}"/>
            </a:ext>
            <a:ext uri="{147F2762-F138-4A5C-976F-8EAC2B608ADB}">
              <a16:predDERef xmlns:a16="http://schemas.microsoft.com/office/drawing/2014/main" pred="{5AA4EF24-F9BE-19F8-A15F-F155795A2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438150</xdr:colOff>
      <xdr:row>1</xdr:row>
      <xdr:rowOff>152400</xdr:rowOff>
    </xdr:from>
    <xdr:to>
      <xdr:col>22</xdr:col>
      <xdr:colOff>438150</xdr:colOff>
      <xdr:row>15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FFC84D1D-29D3-CB1A-3A44-DF4CB47F4FF5}"/>
                </a:ext>
                <a:ext uri="{147F2762-F138-4A5C-976F-8EAC2B608ADB}">
                  <a16:predDERef xmlns:a16="http://schemas.microsoft.com/office/drawing/2014/main" pred="{BF8F43FB-60EA-C861-7A18-C9B997D9D3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73750" y="3429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23</xdr:col>
      <xdr:colOff>47625</xdr:colOff>
      <xdr:row>1</xdr:row>
      <xdr:rowOff>123825</xdr:rowOff>
    </xdr:from>
    <xdr:to>
      <xdr:col>26</xdr:col>
      <xdr:colOff>47625</xdr:colOff>
      <xdr:row>15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Category">
              <a:extLst>
                <a:ext uri="{FF2B5EF4-FFF2-40B4-BE49-F238E27FC236}">
                  <a16:creationId xmlns:a16="http://schemas.microsoft.com/office/drawing/2014/main" id="{942A7739-BF2F-2450-3764-4003D2A7D778}"/>
                </a:ext>
                <a:ext uri="{147F2762-F138-4A5C-976F-8EAC2B608ADB}">
                  <a16:predDERef xmlns:a16="http://schemas.microsoft.com/office/drawing/2014/main" pred="{FFC84D1D-29D3-CB1A-3A44-DF4CB47F4F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21625" y="3143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16</xdr:col>
      <xdr:colOff>333375</xdr:colOff>
      <xdr:row>1</xdr:row>
      <xdr:rowOff>142875</xdr:rowOff>
    </xdr:from>
    <xdr:to>
      <xdr:col>19</xdr:col>
      <xdr:colOff>333375</xdr:colOff>
      <xdr:row>15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Payment_Method">
              <a:extLst>
                <a:ext uri="{FF2B5EF4-FFF2-40B4-BE49-F238E27FC236}">
                  <a16:creationId xmlns:a16="http://schemas.microsoft.com/office/drawing/2014/main" id="{901210DE-ADCA-78BA-7749-A074E56C7A89}"/>
                </a:ext>
                <a:ext uri="{147F2762-F138-4A5C-976F-8EAC2B608ADB}">
                  <a16:predDERef xmlns:a16="http://schemas.microsoft.com/office/drawing/2014/main" pred="{942A7739-BF2F-2450-3764-4003D2A7D7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40175" y="3333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6.652051157405" createdVersion="8" refreshedVersion="8" minRefreshableVersion="3" recordCount="199" xr:uid="{10A33F00-4984-4860-81A5-BDA3DDAE4058}">
  <cacheSource type="worksheet">
    <worksheetSource name="Table1"/>
  </cacheSource>
  <cacheFields count="16">
    <cacheField name="Order_ID" numFmtId="0">
      <sharedItems containsSemiMixedTypes="0" containsString="0" containsNumber="1" containsInteger="1" minValue="10001" maxValue="10199"/>
    </cacheField>
    <cacheField name="Order_Date" numFmtId="165">
      <sharedItems containsSemiMixedTypes="0" containsNonDate="0" containsDate="1" containsString="0" minDate="2026-01-02T00:00:00" maxDate="2026-12-26T00:00:00"/>
    </cacheField>
    <cacheField name="Months" numFmtId="165">
      <sharedItems count="12">
        <s v="May"/>
        <s v="June"/>
        <s v="March"/>
        <s v="January"/>
        <s v="April"/>
        <s v="September"/>
        <s v="August"/>
        <s v="November"/>
        <s v="October"/>
        <s v="December"/>
        <s v="July"/>
        <s v="February"/>
      </sharedItems>
    </cacheField>
    <cacheField name="Customer" numFmtId="0">
      <sharedItems/>
    </cacheField>
    <cacheField name="Region" numFmtId="0">
      <sharedItems count="188">
        <s v="California"/>
        <s v="Texas"/>
        <s v="Florida"/>
        <s v="New York"/>
        <s v="Ontario"/>
        <s v="Quebec"/>
        <s v="British Columbia"/>
        <s v="Alberta"/>
        <s v="Bavaria"/>
        <s v="Saxony"/>
        <s v="Hesse"/>
        <s v="Brandenburg"/>
        <s v="Tuscany"/>
        <s v="Lombardy"/>
        <s v="Sicily"/>
        <s v="Veneto"/>
        <s v="Catalonia"/>
        <s v="Andalusia"/>
        <s v="Galicia"/>
        <s v="Basque Country"/>
        <s v="Île-De-France"/>
        <s v="Normandy"/>
        <s v="Brittany"/>
        <s v="Provence"/>
        <s v="Flanders"/>
        <s v="Wallonia"/>
        <s v="Tyrol"/>
        <s v="Salzburg"/>
        <s v="Styria"/>
        <s v="Zurich"/>
        <s v="Bern"/>
        <s v="Geneva"/>
        <s v="Vaud"/>
        <s v="Scotland"/>
        <s v="Wales"/>
        <s v="Yorkshire"/>
        <s v="Cornwall"/>
        <s v="Greater London"/>
        <s v="Kent"/>
        <s v="Lower Saxony"/>
        <s v="Thuringia"/>
        <s v="Westphalia"/>
        <s v="Walloon Brabant"/>
        <s v="Utrecht"/>
        <s v="Zeeland"/>
        <s v="Friesland"/>
        <s v="Gelderland"/>
        <s v="North Holland"/>
        <s v="Stockholm County"/>
        <s v="Skåne"/>
        <s v="Västra Götaland"/>
        <s v="Uppsala County"/>
        <s v="Oslo"/>
        <s v="Vestland"/>
        <s v="Trøndelag"/>
        <s v="Nordland"/>
        <s v="Helsinki-Uusimaa"/>
        <s v="Lapland"/>
        <s v="Pirkanmaa"/>
        <s v="North Karelia"/>
        <s v="Zealand"/>
        <s v="Jutland"/>
        <s v="Funen"/>
        <s v="Capital Region"/>
        <s v="Occitanie"/>
        <s v="Alsace"/>
        <s v="Loire Valley"/>
        <s v="Piedmont"/>
        <s v="Lazio"/>
        <s v="Apulia"/>
        <s v="Campania"/>
        <s v="Sardinia"/>
        <s v="Madrid"/>
        <s v="Valencia"/>
        <s v="Murcia"/>
        <s v="Castile And León"/>
        <s v="Lisbon Region"/>
        <s v="Norte"/>
        <s v="Algarve"/>
        <s v="Alentejo"/>
        <s v="Athens"/>
        <s v="Central Macedonia"/>
        <s v="Crete"/>
        <s v="Thessaly"/>
        <s v="Transylvania"/>
        <s v="Wallachia"/>
        <s v="Moldavia"/>
        <s v="Bucharest-Ilfov"/>
        <s v="Masovia"/>
        <s v="Lesser Poland"/>
        <s v="Silesia"/>
        <s v="Pomerania"/>
        <s v="Bohemia"/>
        <s v="Moravia"/>
        <s v="Prague"/>
        <s v="South Moravia"/>
        <s v="Dalmatia"/>
        <s v="Istria"/>
        <s v="Slavonia"/>
        <s v="Vojvodina"/>
        <s v="Šumadija"/>
        <s v="Kosovo"/>
        <s v="Macedonia"/>
        <s v="Peloponnese"/>
        <s v="Western Anatolia"/>
        <s v="Cappadocia"/>
        <s v="Black Sea Region"/>
        <s v="Marmara Region"/>
        <s v="Central Anatolia"/>
        <s v="Punjab"/>
        <s v="Sindh"/>
        <s v="Balochistan"/>
        <s v="Khyber Pakhtunkhwa"/>
        <s v="Rajasthan"/>
        <s v="Gujarat"/>
        <s v="Maharashtra"/>
        <s v="Kerala"/>
        <s v="Tamil Nadu"/>
        <s v="Karnataka"/>
        <s v="West Bengal"/>
        <s v="Uttar Pradesh"/>
        <s v="Hokkaido"/>
        <s v="Tohoku"/>
        <s v="Kanto"/>
        <s v="Chubu"/>
        <s v="Kansai"/>
        <s v="Chugoku"/>
        <s v="Shikoku"/>
        <s v="Kyushu"/>
        <s v="Seoul Capital Area"/>
        <s v="Jeju"/>
        <s v="Gangwon"/>
        <s v="Gyeongsang"/>
        <s v="Guangdong"/>
        <s v="Sichuan"/>
        <s v="Yunnan"/>
        <s v="Zhejiang"/>
        <s v="Jiangsu"/>
        <s v="Fujian"/>
        <s v="Hunan"/>
        <s v="Hubei"/>
        <s v="Xinjiang"/>
        <s v="Inner Mongolia"/>
        <s v="Western Australia"/>
        <s v="New South Wales"/>
        <s v="Victoria"/>
        <s v="Queensland"/>
        <s v="South Australia"/>
        <s v="Tasmania"/>
        <s v="Northern Territory"/>
        <s v="Auckland Region"/>
        <s v="Canterbury"/>
        <s v="Otago"/>
        <s v="Waikato"/>
        <s v="Wellington Region"/>
        <s v="São Paulo"/>
        <s v="Rio De Janeiro"/>
        <s v="Minas Gerais"/>
        <s v="Bahia"/>
        <s v="Paraná"/>
        <s v="Pernambuco"/>
        <s v="Amazonas"/>
        <s v="Ceará"/>
        <s v="Buenos Aires Province"/>
        <s v="Córdoba Province"/>
        <s v="Mendoza Province"/>
        <s v="Patagonia"/>
        <s v="Santiago Metropolitan Region"/>
        <s v="Valparaíso Region"/>
        <s v="Lima Region"/>
        <s v="Cusco Region"/>
        <s v="Arequipa Region"/>
        <s v="Antioquia"/>
        <s v="Cundinamarca"/>
        <s v="Bolívar"/>
        <s v="Gauteng"/>
        <s v="Western Cape"/>
        <s v="Kwazulu-Natal"/>
        <s v="Eastern Cape"/>
        <s v="Cairo Governorate"/>
        <s v="Alexandria Governorate"/>
        <s v="Giza Governorate"/>
        <s v="Nairobi County"/>
        <s v="Mombasa County"/>
        <s v="Casablanca-Settat"/>
        <s v="Marrakesh-Safi"/>
        <s v="Lagos State"/>
        <s v="Accra Region"/>
      </sharedItems>
    </cacheField>
    <cacheField name="Product" numFmtId="0">
      <sharedItems count="198">
        <s v="Laptop"/>
        <s v="Smartphone"/>
        <s v="Tablet"/>
        <s v="Desktop Computer"/>
        <s v="Monitor"/>
        <s v="Keyboard"/>
        <s v="Mouse"/>
        <s v="Webcam"/>
        <s v="Printer"/>
        <s v="Scanner"/>
        <s v="Headphones"/>
        <s v="Earbuds"/>
        <s v="Bluetooth Speaker"/>
        <s v="Soundbar"/>
        <s v="Microphone"/>
        <s v="Smartwatch"/>
        <s v="Fitness Tracker"/>
        <s v="Digital Camera"/>
        <s v="Action Camera"/>
        <s v="Tripod"/>
        <s v="Television"/>
        <s v="Projector"/>
        <s v="Streaming Device"/>
        <s v="Game Console"/>
        <s v="Gaming Controller"/>
        <s v="Gaming Headset"/>
        <s v="Gaming Chair"/>
        <s v="External Hard Drive"/>
        <s v="USB Flash Drive"/>
        <s v="Power Bank"/>
        <s v="Smartphone Case"/>
        <s v="Screen Protector"/>
        <s v="Wireless Charger"/>
        <s v="HDMI Cable"/>
        <s v="USB-C Cable"/>
        <s v="Power Strip"/>
        <s v="Smart Bulb"/>
        <s v="Smart Plug"/>
        <s v="Smart Doorbell"/>
        <s v="Security Camera"/>
        <s v="Refrigerator"/>
        <s v="Freezer"/>
        <s v="Microwave Oven"/>
        <s v="Electric Oven"/>
        <s v="Dishwasher"/>
        <s v="Washing Machine"/>
        <s v="Clothes Dryer"/>
        <s v="Vacuum Cleaner"/>
        <s v="Air Purifier"/>
        <s v="Air Conditioner"/>
        <s v="Electric Kettle"/>
        <s v="Coffee Maker"/>
        <s v="Blender"/>
        <s v="Toaster"/>
        <s v="Rice Cooker"/>
        <s v="Food Processor"/>
        <s v="Stand Mixer"/>
        <s v="Air Fryer"/>
        <s v="Slow Cooker"/>
        <s v="Juicer"/>
        <s v="Dinner Plates"/>
        <s v="Bowls"/>
        <s v="Drinking Glasses"/>
        <s v="Coffee Mugs"/>
        <s v="Cutlery Set"/>
        <s v="Frying Pan"/>
        <s v="Saucepan"/>
        <s v="Cooking Pot"/>
        <s v="Baking Tray"/>
        <s v="Cutting Board"/>
        <s v="Kitchen Knife"/>
        <s v="Measuring Cups"/>
        <s v="Food Storage Container"/>
        <s v="Water Bottle"/>
        <s v="Lunch Box"/>
        <s v="Sofa"/>
        <s v="Armchair"/>
        <s v="Coffee Table"/>
        <s v="Dining Table"/>
        <s v="Dining Chair"/>
        <s v="Office Chair"/>
        <s v="Desk"/>
        <s v="Bookshelf"/>
        <s v="Wardrobe"/>
        <s v="Bed Frame"/>
        <s v="Mattress"/>
        <s v="Pillow"/>
        <s v="Blanket"/>
        <s v="Bedsheet Set"/>
        <s v="Duvet"/>
        <s v="Curtains"/>
        <s v="Area Rug"/>
        <s v="Floor Lamp"/>
        <s v="Table Lamp"/>
        <s v="Wall Clock"/>
        <s v="Mirror"/>
        <s v="Picture Frame"/>
        <s v="Wall Art"/>
        <s v="Candle"/>
        <s v="Reed Diffuser"/>
        <s v="T-Shirt"/>
        <s v="Shirt"/>
        <s v="Jeans"/>
        <s v="Trousers"/>
        <s v="Shorts"/>
        <s v="Hoodie"/>
        <s v="Sweater"/>
        <s v="Jacket"/>
        <s v="Coat"/>
        <s v="Dress"/>
        <s v="Skirt"/>
        <s v="Blazer"/>
        <s v="Suit"/>
        <s v="Tracksuit"/>
        <s v="Sports Bra"/>
        <s v="Leggings"/>
        <s v="Swimwear"/>
        <s v="Socks"/>
        <s v="Underwear"/>
        <s v="Scarf"/>
        <s v="Sneakers"/>
        <s v="Boots"/>
        <s v="Sandals"/>
        <s v="Slippers"/>
        <s v="Dress Shoes"/>
        <s v="Running Shoes"/>
        <s v="Baseball Cap"/>
        <s v="Beanie"/>
        <s v="Belt"/>
        <s v="Wallet"/>
        <s v="Handbag"/>
        <s v="Backpack"/>
        <s v="Suitcase"/>
        <s v="Travel Bag"/>
        <s v="Umbrella"/>
        <s v="Sunglasses"/>
        <s v="Wristwatch"/>
        <s v="Necklace"/>
        <s v="Bracelet"/>
        <s v="Earrings"/>
        <s v="Ring"/>
        <s v="Hair Dryer"/>
        <s v="Hair Straightener"/>
        <s v="Hair Curler"/>
        <s v="Electric Shaver"/>
        <s v="Beard Trimmer"/>
        <s v="Toothbrush"/>
        <s v="Electric Toothbrush"/>
        <s v="Hair Shampoo"/>
        <s v="Conditioner"/>
        <s v="Face Wash"/>
        <s v="Moisturizer"/>
        <s v="Sunscreen"/>
        <s v="Lip Balm"/>
        <s v="Body Lotion"/>
        <s v="Perfume"/>
        <s v="Deodorant"/>
        <s v="Makeup Foundation"/>
        <s v="Mascara"/>
        <s v="Lipstick"/>
        <s v="Football"/>
        <s v="Basketball"/>
        <s v="Tennis Racket"/>
        <s v="Tennis Balls"/>
        <s v="Badminton Racket"/>
        <s v="Shuttlecock"/>
        <s v="Yoga Mat"/>
        <s v="Dumbbells"/>
        <s v="Resistance Bands"/>
        <s v="Exercise Bike"/>
        <s v="Treadmill"/>
        <s v="Camping Tent"/>
        <s v="Sleeping Bag"/>
        <s v="Hiking Backpack"/>
        <s v="Camping Chair"/>
        <s v="Bicycle"/>
        <s v="Bicycle Helmet"/>
        <s v="Skateboard"/>
        <s v="Fishing Rod"/>
        <s v="Golf Clubs"/>
        <s v="Notebook"/>
        <s v="Notebook Computer Stand"/>
        <s v="Ballpoint Pen"/>
        <s v="Fountain Pen"/>
        <s v="Pencil"/>
        <s v="Marker Set"/>
        <s v="Colored Pencils"/>
        <s v="Paint Set"/>
        <s v="Sketchbook"/>
        <s v="Calculator"/>
        <s v="Stapler"/>
        <s v="Paper Clips"/>
        <s v="File Folder"/>
        <s v="Desk Organizer"/>
        <s v="Whiteboard"/>
        <s v="Printer Paper"/>
        <s v="Glue Stick"/>
        <s v="Scissors"/>
      </sharedItems>
    </cacheField>
    <cacheField name="Category" numFmtId="0">
      <sharedItems count="68">
        <s v="Electronics"/>
        <s v="Computer Accessories"/>
        <s v="unknown"/>
        <s v="Office Electronics"/>
        <s v="Audio"/>
        <s v="Wearables"/>
        <s v="Cameras"/>
        <s v="Camera Accessories"/>
        <s v="Home Entertainment"/>
        <s v="Gaming"/>
        <s v="Gaming Furniture"/>
        <s v="Mobile Accessories"/>
        <s v="Cables"/>
        <s v="Electrical"/>
        <s v="Smart Home"/>
        <s v="Home Security"/>
        <s v="Appliances"/>
        <s v="Kitchen Appliances"/>
        <s v="Laundry Appliances"/>
        <s v="Cleaning Appliances"/>
        <s v="Home Appliances"/>
        <s v="Kitchen &amp; Dining"/>
        <s v="Cookware"/>
        <s v="Bakeware"/>
        <s v="Kitchen Tools"/>
        <s v="Kitchen Storage"/>
        <s v="Drinkware"/>
        <s v="Food Storage"/>
        <s v="Furniture"/>
        <s v="Office Furniture"/>
        <s v="Storage Furniture"/>
        <s v="Bedroom Furniture"/>
        <s v="Bedding"/>
        <s v="Home Decor"/>
        <s v="Lighting"/>
        <s v="Home Fragrance"/>
        <s v="Clothing"/>
        <s v="Outerwear"/>
        <s v="Formalwear"/>
        <s v="Sportswear"/>
        <s v="Swimwear"/>
        <s v="Accessories"/>
        <s v="Footwear"/>
        <s v="Bags"/>
        <s v="Travel"/>
        <s v="Eyewear"/>
        <s v="Watches"/>
        <s v="Jewelry"/>
        <s v="Beauty Appliances"/>
        <s v="Grooming"/>
        <s v="Personal Care"/>
        <s v="Hair Care"/>
        <s v="Skincare"/>
        <s v="Fragrance"/>
        <s v="Makeup"/>
        <s v="Sports"/>
        <s v="Fitness"/>
        <s v="Fitness Equipment"/>
        <s v="Outdoor"/>
        <s v="Cycling"/>
        <s v="Outdoor Sports"/>
        <s v="Fishing"/>
        <s v="Golf"/>
        <s v="Stationery"/>
        <s v="Office Accessories"/>
        <s v="Art Supplies"/>
        <s v="Office Supplies"/>
        <s v="School Supplies"/>
      </sharedItems>
    </cacheField>
    <cacheField name="Quantity" numFmtId="0">
      <sharedItems containsSemiMixedTypes="0" containsString="0" containsNumber="1" containsInteger="1" minValue="1" maxValue="100"/>
    </cacheField>
    <cacheField name="Unit_Price" numFmtId="0">
      <sharedItems containsSemiMixedTypes="0" containsString="0" containsNumber="1" containsInteger="1" minValue="100" maxValue="1997"/>
    </cacheField>
    <cacheField name="Discount" numFmtId="0">
      <sharedItems containsSemiMixedTypes="0" containsString="0" containsNumber="1" minValue="0.1" maxValue="0.5"/>
    </cacheField>
    <cacheField name="Payment_Method" numFmtId="0">
      <sharedItems count="6">
        <s v="CRYPTO"/>
        <s v="CREDIT"/>
        <s v="CARD"/>
        <s v="CASH"/>
        <s v="DIGITAL WALLET"/>
        <s v="unknown"/>
      </sharedItems>
    </cacheField>
    <cacheField name="Salesperson" numFmtId="0">
      <sharedItems/>
    </cacheField>
    <cacheField name="Revenue" numFmtId="0">
      <sharedItems containsSemiMixedTypes="0" containsString="0" containsNumber="1" minValue="230.88" maxValue="167626.79999999999"/>
    </cacheField>
    <cacheField name="Month" numFmtId="0">
      <sharedItems count="12">
        <s v="2026-05"/>
        <s v="2026-06"/>
        <s v="2026-03"/>
        <s v="2026-01"/>
        <s v="2026-04"/>
        <s v="2026-09"/>
        <s v="2026-08"/>
        <s v="2026-11"/>
        <s v="2026-10"/>
        <s v="2026-12"/>
        <s v="2026-07"/>
        <s v="2026-02"/>
      </sharedItems>
    </cacheField>
    <cacheField name="Discount_Band" numFmtId="0">
      <sharedItems/>
    </cacheField>
    <cacheField name="Column1" numFmtId="0">
      <sharedItems containsBlank="1"/>
    </cacheField>
  </cacheFields>
  <extLst>
    <ext xmlns:x14="http://schemas.microsoft.com/office/spreadsheetml/2009/9/main" uri="{725AE2AE-9491-48be-B2B4-4EB974FC3084}">
      <x14:pivotCacheDefinition pivotCacheId="2537194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0001"/>
    <d v="2026-05-14T00:00:00"/>
    <x v="0"/>
    <s v="James Anderson"/>
    <x v="0"/>
    <x v="0"/>
    <x v="0"/>
    <n v="48"/>
    <n v="1033"/>
    <n v="0.39"/>
    <x v="0"/>
    <s v="Liam"/>
    <n v="30246.240000000002"/>
    <x v="0"/>
    <s v="20%-40%"/>
    <s v="Total Revenue"/>
  </r>
  <r>
    <n v="10002"/>
    <d v="2026-06-26T00:00:00"/>
    <x v="1"/>
    <s v="Emily Johnson"/>
    <x v="1"/>
    <x v="1"/>
    <x v="0"/>
    <n v="6"/>
    <n v="1507"/>
    <n v="0.13"/>
    <x v="1"/>
    <s v="Noah"/>
    <n v="7866.54"/>
    <x v="1"/>
    <s v="0-20%"/>
    <m/>
  </r>
  <r>
    <n v="10003"/>
    <d v="2026-03-13T00:00:00"/>
    <x v="2"/>
    <s v="Michael Williams"/>
    <x v="2"/>
    <x v="2"/>
    <x v="0"/>
    <n v="83"/>
    <n v="1917"/>
    <n v="0.26"/>
    <x v="2"/>
    <s v="Oliver"/>
    <n v="117742.14"/>
    <x v="2"/>
    <s v="20%-40%"/>
    <m/>
  </r>
  <r>
    <n v="10004"/>
    <d v="2026-03-26T00:00:00"/>
    <x v="2"/>
    <s v="Sarah Brown"/>
    <x v="3"/>
    <x v="3"/>
    <x v="0"/>
    <n v="75"/>
    <n v="1692"/>
    <n v="0.25"/>
    <x v="1"/>
    <s v="Elijah"/>
    <n v="95175"/>
    <x v="2"/>
    <s v="20%-40%"/>
    <m/>
  </r>
  <r>
    <n v="10005"/>
    <d v="2026-01-21T00:00:00"/>
    <x v="3"/>
    <s v="David Jones"/>
    <x v="4"/>
    <x v="4"/>
    <x v="0"/>
    <n v="61"/>
    <n v="660"/>
    <n v="0.17"/>
    <x v="1"/>
    <s v="James"/>
    <n v="33415.800000000003"/>
    <x v="3"/>
    <s v="0-20%"/>
    <m/>
  </r>
  <r>
    <n v="10006"/>
    <d v="2026-05-02T00:00:00"/>
    <x v="0"/>
    <s v="Jessica Garcia"/>
    <x v="5"/>
    <x v="5"/>
    <x v="1"/>
    <n v="50"/>
    <n v="443"/>
    <n v="0.2"/>
    <x v="0"/>
    <s v="William"/>
    <n v="17720"/>
    <x v="0"/>
    <s v="0-20%"/>
    <m/>
  </r>
  <r>
    <n v="10007"/>
    <d v="2026-03-01T00:00:00"/>
    <x v="2"/>
    <s v="Robert Miller"/>
    <x v="6"/>
    <x v="6"/>
    <x v="2"/>
    <n v="49"/>
    <n v="1148"/>
    <n v="0.39"/>
    <x v="0"/>
    <s v="Henry"/>
    <n v="34313.72"/>
    <x v="2"/>
    <s v="20%-40%"/>
    <m/>
  </r>
  <r>
    <n v="10008"/>
    <d v="2026-06-23T00:00:00"/>
    <x v="1"/>
    <s v="Emma Davis"/>
    <x v="7"/>
    <x v="7"/>
    <x v="1"/>
    <n v="89"/>
    <n v="180"/>
    <n v="0.37"/>
    <x v="2"/>
    <s v="Lucas"/>
    <n v="10092.6"/>
    <x v="1"/>
    <s v="20%-40%"/>
    <m/>
  </r>
  <r>
    <n v="10009"/>
    <d v="2026-04-09T00:00:00"/>
    <x v="4"/>
    <s v="William Wilson"/>
    <x v="8"/>
    <x v="8"/>
    <x v="3"/>
    <n v="54"/>
    <n v="799"/>
    <n v="0.34"/>
    <x v="2"/>
    <s v="Benjamin"/>
    <n v="28476.36"/>
    <x v="4"/>
    <s v="20%-40%"/>
    <m/>
  </r>
  <r>
    <n v="10010"/>
    <d v="2026-01-15T00:00:00"/>
    <x v="3"/>
    <s v="Olivia Moore"/>
    <x v="9"/>
    <x v="9"/>
    <x v="3"/>
    <n v="78"/>
    <n v="1709"/>
    <n v="0.39"/>
    <x v="1"/>
    <s v="Theodore"/>
    <n v="81314.22"/>
    <x v="3"/>
    <s v="20%-40%"/>
    <m/>
  </r>
  <r>
    <n v="10011"/>
    <d v="2026-05-09T00:00:00"/>
    <x v="0"/>
    <s v="Richard Taylor"/>
    <x v="10"/>
    <x v="10"/>
    <x v="4"/>
    <n v="39"/>
    <n v="776"/>
    <n v="0.26"/>
    <x v="0"/>
    <s v="Jack"/>
    <n v="22395.360000000001"/>
    <x v="0"/>
    <s v="20%-40%"/>
    <m/>
  </r>
  <r>
    <n v="10012"/>
    <d v="2026-09-19T00:00:00"/>
    <x v="5"/>
    <s v="Sophia Anderson"/>
    <x v="11"/>
    <x v="11"/>
    <x v="2"/>
    <n v="68"/>
    <n v="719"/>
    <n v="0.48"/>
    <x v="2"/>
    <s v="Levi"/>
    <n v="25423.84"/>
    <x v="5"/>
    <s v="40%-60%"/>
    <m/>
  </r>
  <r>
    <n v="10013"/>
    <d v="2026-08-03T00:00:00"/>
    <x v="6"/>
    <s v="Joseph Thomas"/>
    <x v="12"/>
    <x v="12"/>
    <x v="4"/>
    <n v="64"/>
    <n v="1168"/>
    <n v="0.12"/>
    <x v="0"/>
    <s v="Alexander"/>
    <n v="65781.759999999995"/>
    <x v="6"/>
    <s v="0-20%"/>
    <m/>
  </r>
  <r>
    <n v="10014"/>
    <d v="2026-11-10T00:00:00"/>
    <x v="7"/>
    <s v="Ava Jackson"/>
    <x v="13"/>
    <x v="13"/>
    <x v="4"/>
    <n v="75"/>
    <n v="1683"/>
    <n v="0.28000000000000003"/>
    <x v="2"/>
    <s v="Jackson"/>
    <n v="90882"/>
    <x v="7"/>
    <s v="20%-40%"/>
    <m/>
  </r>
  <r>
    <n v="10015"/>
    <d v="2026-09-13T00:00:00"/>
    <x v="5"/>
    <s v="Thomas White"/>
    <x v="14"/>
    <x v="14"/>
    <x v="4"/>
    <n v="50"/>
    <n v="693"/>
    <n v="0.24"/>
    <x v="0"/>
    <s v="Mateo"/>
    <n v="26334"/>
    <x v="5"/>
    <s v="20%-40%"/>
    <m/>
  </r>
  <r>
    <n v="10016"/>
    <d v="2026-08-27T00:00:00"/>
    <x v="6"/>
    <s v="Isabella Harris"/>
    <x v="15"/>
    <x v="15"/>
    <x v="5"/>
    <n v="54"/>
    <n v="1471"/>
    <n v="0.41"/>
    <x v="2"/>
    <s v="Daniel"/>
    <n v="46866.06"/>
    <x v="6"/>
    <s v="40%-60%"/>
    <m/>
  </r>
  <r>
    <n v="10017"/>
    <d v="2026-03-07T00:00:00"/>
    <x v="2"/>
    <s v="Charles Martin"/>
    <x v="16"/>
    <x v="16"/>
    <x v="5"/>
    <n v="58"/>
    <n v="472"/>
    <n v="0.36"/>
    <x v="1"/>
    <s v="Michael"/>
    <n v="17520.64"/>
    <x v="2"/>
    <s v="20%-40%"/>
    <m/>
  </r>
  <r>
    <n v="10018"/>
    <d v="2026-03-25T00:00:00"/>
    <x v="2"/>
    <s v="Mia Thompson"/>
    <x v="17"/>
    <x v="17"/>
    <x v="6"/>
    <n v="40"/>
    <n v="1929"/>
    <n v="0.13"/>
    <x v="0"/>
    <s v="Sebastian"/>
    <n v="67129.2"/>
    <x v="2"/>
    <s v="0-20%"/>
    <m/>
  </r>
  <r>
    <n v="10019"/>
    <d v="2026-03-26T00:00:00"/>
    <x v="2"/>
    <s v="Daniel Garcia"/>
    <x v="18"/>
    <x v="18"/>
    <x v="6"/>
    <n v="53"/>
    <n v="234"/>
    <n v="0.11"/>
    <x v="0"/>
    <s v="Ethan"/>
    <n v="11037.78"/>
    <x v="2"/>
    <s v="0-20%"/>
    <m/>
  </r>
  <r>
    <n v="10020"/>
    <d v="2026-10-16T00:00:00"/>
    <x v="8"/>
    <s v="Amelia Martinez"/>
    <x v="19"/>
    <x v="19"/>
    <x v="7"/>
    <n v="16"/>
    <n v="308"/>
    <n v="0.15"/>
    <x v="3"/>
    <s v="Owen"/>
    <n v="4188.8"/>
    <x v="8"/>
    <s v="0-20%"/>
    <m/>
  </r>
  <r>
    <n v="10021"/>
    <d v="2026-09-21T00:00:00"/>
    <x v="5"/>
    <s v="Matthew Robinson"/>
    <x v="20"/>
    <x v="20"/>
    <x v="8"/>
    <n v="55"/>
    <n v="783"/>
    <n v="0.19"/>
    <x v="4"/>
    <s v="Samuel"/>
    <n v="34882.65"/>
    <x v="5"/>
    <s v="0-20%"/>
    <m/>
  </r>
  <r>
    <n v="10022"/>
    <d v="2026-08-02T00:00:00"/>
    <x v="6"/>
    <s v="Harper Clark"/>
    <x v="21"/>
    <x v="21"/>
    <x v="8"/>
    <n v="76"/>
    <n v="649"/>
    <n v="0.38"/>
    <x v="2"/>
    <s v="Hudson"/>
    <n v="30580.880000000001"/>
    <x v="6"/>
    <s v="20%-40%"/>
    <m/>
  </r>
  <r>
    <n v="10023"/>
    <d v="2026-10-20T00:00:00"/>
    <x v="8"/>
    <s v="Anthony Rodriguez"/>
    <x v="22"/>
    <x v="22"/>
    <x v="8"/>
    <n v="50"/>
    <n v="391"/>
    <n v="0.15"/>
    <x v="1"/>
    <s v="Joseph"/>
    <n v="16617.5"/>
    <x v="8"/>
    <s v="0-20%"/>
    <m/>
  </r>
  <r>
    <n v="10024"/>
    <d v="2026-11-20T00:00:00"/>
    <x v="7"/>
    <s v="Evelyn Lewis"/>
    <x v="23"/>
    <x v="23"/>
    <x v="2"/>
    <n v="98"/>
    <n v="1468"/>
    <n v="0.47"/>
    <x v="3"/>
    <s v="Mason"/>
    <n v="76247.92"/>
    <x v="7"/>
    <s v="40%-60%"/>
    <m/>
  </r>
  <r>
    <n v="10025"/>
    <d v="2026-12-16T00:00:00"/>
    <x v="9"/>
    <s v="Christopher Lee"/>
    <x v="24"/>
    <x v="24"/>
    <x v="9"/>
    <n v="75"/>
    <n v="360"/>
    <n v="0.32"/>
    <x v="4"/>
    <s v="Asher"/>
    <n v="18360"/>
    <x v="9"/>
    <s v="20%-40%"/>
    <m/>
  </r>
  <r>
    <n v="10026"/>
    <d v="2026-11-12T00:00:00"/>
    <x v="7"/>
    <s v="Abigail Walker"/>
    <x v="25"/>
    <x v="25"/>
    <x v="9"/>
    <n v="15"/>
    <n v="1291"/>
    <n v="0.3"/>
    <x v="1"/>
    <s v="Leo"/>
    <n v="13555.5"/>
    <x v="7"/>
    <s v="20%-40%"/>
    <m/>
  </r>
  <r>
    <n v="10027"/>
    <d v="2026-07-23T00:00:00"/>
    <x v="10"/>
    <s v="Andrew Hall"/>
    <x v="8"/>
    <x v="26"/>
    <x v="10"/>
    <n v="35"/>
    <n v="461"/>
    <n v="0.23"/>
    <x v="0"/>
    <s v="John"/>
    <n v="12423.95"/>
    <x v="10"/>
    <s v="20%-40%"/>
    <m/>
  </r>
  <r>
    <n v="10028"/>
    <d v="2026-06-03T00:00:00"/>
    <x v="1"/>
    <s v="Ella Allen"/>
    <x v="26"/>
    <x v="27"/>
    <x v="1"/>
    <n v="99"/>
    <n v="730"/>
    <n v="0.13"/>
    <x v="3"/>
    <s v="Ezra"/>
    <n v="62874.9"/>
    <x v="1"/>
    <s v="0-20%"/>
    <m/>
  </r>
  <r>
    <n v="10029"/>
    <d v="2026-07-15T00:00:00"/>
    <x v="10"/>
    <s v="Joshua Young"/>
    <x v="27"/>
    <x v="28"/>
    <x v="2"/>
    <n v="32"/>
    <n v="754"/>
    <n v="0.23"/>
    <x v="1"/>
    <s v="Luca"/>
    <n v="18578.560000000001"/>
    <x v="10"/>
    <s v="20%-40%"/>
    <m/>
  </r>
  <r>
    <n v="10030"/>
    <d v="2026-08-26T00:00:00"/>
    <x v="6"/>
    <s v="Scarlett Hernandez"/>
    <x v="28"/>
    <x v="29"/>
    <x v="11"/>
    <n v="28"/>
    <n v="1678"/>
    <n v="0.42"/>
    <x v="0"/>
    <s v="Elias"/>
    <n v="27250.720000000001"/>
    <x v="6"/>
    <s v="40%-60%"/>
    <m/>
  </r>
  <r>
    <n v="10031"/>
    <d v="2026-03-13T00:00:00"/>
    <x v="2"/>
    <s v="Ryan King"/>
    <x v="29"/>
    <x v="30"/>
    <x v="11"/>
    <n v="36"/>
    <n v="362"/>
    <n v="0.26"/>
    <x v="1"/>
    <s v="Mateo"/>
    <n v="9643.68"/>
    <x v="2"/>
    <s v="20%-40%"/>
    <m/>
  </r>
  <r>
    <n v="10032"/>
    <d v="2026-05-20T00:00:00"/>
    <x v="0"/>
    <s v="Grace Wright"/>
    <x v="30"/>
    <x v="31"/>
    <x v="11"/>
    <n v="45"/>
    <n v="185"/>
    <n v="0.28000000000000003"/>
    <x v="4"/>
    <s v="Thomas"/>
    <n v="5994"/>
    <x v="0"/>
    <s v="20%-40%"/>
    <m/>
  </r>
  <r>
    <n v="10033"/>
    <d v="2026-07-11T00:00:00"/>
    <x v="10"/>
    <s v="Nicholas Lopez"/>
    <x v="31"/>
    <x v="32"/>
    <x v="11"/>
    <n v="15"/>
    <n v="1756"/>
    <n v="0.11"/>
    <x v="2"/>
    <s v="Isaac"/>
    <n v="23442.6"/>
    <x v="10"/>
    <s v="0-20%"/>
    <m/>
  </r>
  <r>
    <n v="10034"/>
    <d v="2026-11-15T00:00:00"/>
    <x v="7"/>
    <s v="Chloe Hill"/>
    <x v="32"/>
    <x v="33"/>
    <x v="12"/>
    <n v="26"/>
    <n v="1746"/>
    <n v="0.32"/>
    <x v="4"/>
    <s v="Charles"/>
    <n v="30869.279999999999"/>
    <x v="7"/>
    <s v="20%-40%"/>
    <m/>
  </r>
  <r>
    <n v="10035"/>
    <d v="2026-09-19T00:00:00"/>
    <x v="5"/>
    <s v="Tyler Scott"/>
    <x v="33"/>
    <x v="34"/>
    <x v="12"/>
    <n v="30"/>
    <n v="1267"/>
    <n v="0.33"/>
    <x v="2"/>
    <s v="Miles"/>
    <n v="25466.7"/>
    <x v="5"/>
    <s v="20%-40%"/>
    <m/>
  </r>
  <r>
    <n v="10036"/>
    <d v="2026-09-10T00:00:00"/>
    <x v="5"/>
    <s v="Lily Green"/>
    <x v="34"/>
    <x v="35"/>
    <x v="13"/>
    <n v="25"/>
    <n v="1224"/>
    <n v="0.42"/>
    <x v="3"/>
    <s v="Christopher"/>
    <n v="17748"/>
    <x v="5"/>
    <s v="40%-60%"/>
    <m/>
  </r>
  <r>
    <n v="10037"/>
    <d v="2026-02-26T00:00:00"/>
    <x v="11"/>
    <s v="Brandon Adams"/>
    <x v="35"/>
    <x v="36"/>
    <x v="14"/>
    <n v="2"/>
    <n v="359"/>
    <n v="0.43"/>
    <x v="2"/>
    <s v="Josiah"/>
    <n v="409.26"/>
    <x v="11"/>
    <s v="40%-60%"/>
    <m/>
  </r>
  <r>
    <n v="10038"/>
    <d v="2026-03-25T00:00:00"/>
    <x v="2"/>
    <s v="Hannah Baker"/>
    <x v="36"/>
    <x v="37"/>
    <x v="14"/>
    <n v="28"/>
    <n v="1134"/>
    <n v="0.42"/>
    <x v="4"/>
    <s v="Caleb"/>
    <n v="18416.16"/>
    <x v="2"/>
    <s v="40%-60%"/>
    <m/>
  </r>
  <r>
    <n v="10039"/>
    <d v="2026-01-20T00:00:00"/>
    <x v="3"/>
    <s v="Samuel Nelson"/>
    <x v="37"/>
    <x v="38"/>
    <x v="14"/>
    <n v="6"/>
    <n v="1046"/>
    <n v="0.13"/>
    <x v="1"/>
    <s v="Nathan"/>
    <n v="5460.12"/>
    <x v="3"/>
    <s v="0-20%"/>
    <m/>
  </r>
  <r>
    <n v="10040"/>
    <d v="2026-07-23T00:00:00"/>
    <x v="10"/>
    <s v="Victoria Carter"/>
    <x v="38"/>
    <x v="39"/>
    <x v="15"/>
    <n v="83"/>
    <n v="1517"/>
    <n v="0.39"/>
    <x v="2"/>
    <s v="Isaiah"/>
    <n v="76805.709999999992"/>
    <x v="10"/>
    <s v="20%-40%"/>
    <m/>
  </r>
  <r>
    <n v="10041"/>
    <d v="2026-12-20T00:00:00"/>
    <x v="9"/>
    <s v="Benjamin Mitchell"/>
    <x v="8"/>
    <x v="40"/>
    <x v="16"/>
    <n v="31"/>
    <n v="1543"/>
    <n v="0.46"/>
    <x v="2"/>
    <s v="Adrian"/>
    <n v="25829.82"/>
    <x v="9"/>
    <s v="40%-60%"/>
    <m/>
  </r>
  <r>
    <n v="10042"/>
    <d v="2026-07-03T00:00:00"/>
    <x v="10"/>
    <s v="Aria Perez"/>
    <x v="39"/>
    <x v="41"/>
    <x v="2"/>
    <n v="78"/>
    <n v="872"/>
    <n v="0.46"/>
    <x v="4"/>
    <s v="Nolan"/>
    <n v="36728.639999999999"/>
    <x v="10"/>
    <s v="40%-60%"/>
    <m/>
  </r>
  <r>
    <n v="10043"/>
    <d v="2026-07-07T00:00:00"/>
    <x v="10"/>
    <s v="Alexander Roberts"/>
    <x v="40"/>
    <x v="42"/>
    <x v="17"/>
    <n v="85"/>
    <n v="1835"/>
    <n v="0.38"/>
    <x v="2"/>
    <s v="Cameron"/>
    <n v="96704.5"/>
    <x v="10"/>
    <s v="20%-40%"/>
    <m/>
  </r>
  <r>
    <n v="10044"/>
    <d v="2026-07-24T00:00:00"/>
    <x v="10"/>
    <s v="Sofia Turner"/>
    <x v="41"/>
    <x v="43"/>
    <x v="17"/>
    <n v="93"/>
    <n v="931"/>
    <n v="0.23"/>
    <x v="0"/>
    <s v="Santiago"/>
    <n v="66668.91"/>
    <x v="10"/>
    <s v="20%-40%"/>
    <m/>
  </r>
  <r>
    <n v="10045"/>
    <d v="2026-09-06T00:00:00"/>
    <x v="5"/>
    <s v="Ethan Phillips"/>
    <x v="42"/>
    <x v="44"/>
    <x v="17"/>
    <n v="51"/>
    <n v="1735"/>
    <n v="0.35"/>
    <x v="3"/>
    <s v="Andrew"/>
    <n v="57515.25"/>
    <x v="5"/>
    <s v="20%-40%"/>
    <m/>
  </r>
  <r>
    <n v="10046"/>
    <d v="2026-01-16T00:00:00"/>
    <x v="3"/>
    <s v="Avery Campbell"/>
    <x v="43"/>
    <x v="45"/>
    <x v="18"/>
    <n v="10"/>
    <n v="1386"/>
    <n v="0.17"/>
    <x v="2"/>
    <s v="Joshua"/>
    <n v="11503.8"/>
    <x v="3"/>
    <s v="0-20%"/>
    <m/>
  </r>
  <r>
    <n v="10047"/>
    <d v="2026-08-12T00:00:00"/>
    <x v="6"/>
    <s v="Daniel Parker"/>
    <x v="44"/>
    <x v="46"/>
    <x v="18"/>
    <n v="77"/>
    <n v="1566"/>
    <n v="0.49"/>
    <x v="4"/>
    <s v="Nathaniel"/>
    <n v="61496.82"/>
    <x v="6"/>
    <s v="40%-60%"/>
    <m/>
  </r>
  <r>
    <n v="10048"/>
    <d v="2026-06-03T00:00:00"/>
    <x v="1"/>
    <s v="Madison Evans"/>
    <x v="45"/>
    <x v="47"/>
    <x v="19"/>
    <n v="3"/>
    <n v="1718"/>
    <n v="0.31"/>
    <x v="0"/>
    <s v="Ryan"/>
    <n v="3556.26"/>
    <x v="1"/>
    <s v="20%-40%"/>
    <m/>
  </r>
  <r>
    <n v="10049"/>
    <d v="2026-12-18T00:00:00"/>
    <x v="9"/>
    <s v="Jacob Edwards"/>
    <x v="46"/>
    <x v="48"/>
    <x v="20"/>
    <n v="74"/>
    <n v="1506"/>
    <n v="0.36"/>
    <x v="2"/>
    <s v="Angel"/>
    <n v="71324.160000000003"/>
    <x v="9"/>
    <s v="20%-40%"/>
    <m/>
  </r>
  <r>
    <n v="10050"/>
    <d v="2026-07-09T00:00:00"/>
    <x v="10"/>
    <s v="Luna Collins"/>
    <x v="47"/>
    <x v="49"/>
    <x v="20"/>
    <n v="90"/>
    <n v="1290"/>
    <n v="0.19"/>
    <x v="2"/>
    <s v="Christian"/>
    <n v="94041"/>
    <x v="10"/>
    <s v="0-20%"/>
    <m/>
  </r>
  <r>
    <n v="10051"/>
    <d v="2026-09-25T00:00:00"/>
    <x v="5"/>
    <s v="Lucas Stewart"/>
    <x v="48"/>
    <x v="50"/>
    <x v="17"/>
    <n v="85"/>
    <n v="401"/>
    <n v="0.38"/>
    <x v="1"/>
    <s v="Aaron"/>
    <n v="21132.7"/>
    <x v="5"/>
    <s v="20%-40%"/>
    <m/>
  </r>
  <r>
    <n v="10052"/>
    <d v="2026-10-15T00:00:00"/>
    <x v="8"/>
    <s v="Layla Sanchez"/>
    <x v="49"/>
    <x v="51"/>
    <x v="17"/>
    <n v="56"/>
    <n v="693"/>
    <n v="0.44"/>
    <x v="4"/>
    <s v="Eli"/>
    <n v="21732.48"/>
    <x v="8"/>
    <s v="40%-60%"/>
    <m/>
  </r>
  <r>
    <n v="10053"/>
    <d v="2026-07-11T00:00:00"/>
    <x v="10"/>
    <s v="Mason Morris"/>
    <x v="50"/>
    <x v="52"/>
    <x v="17"/>
    <n v="12"/>
    <n v="859"/>
    <n v="0.23"/>
    <x v="4"/>
    <s v="David"/>
    <n v="7937.16"/>
    <x v="10"/>
    <s v="20%-40%"/>
    <m/>
  </r>
  <r>
    <n v="10054"/>
    <d v="2026-11-23T00:00:00"/>
    <x v="7"/>
    <s v="Penelope Rogers"/>
    <x v="51"/>
    <x v="53"/>
    <x v="17"/>
    <n v="99"/>
    <n v="1992"/>
    <n v="0.15"/>
    <x v="0"/>
    <s v="Wesley"/>
    <n v="167626.79999999999"/>
    <x v="7"/>
    <s v="0-20%"/>
    <m/>
  </r>
  <r>
    <n v="10055"/>
    <d v="2026-02-12T00:00:00"/>
    <x v="11"/>
    <s v="Logan Reed"/>
    <x v="52"/>
    <x v="54"/>
    <x v="17"/>
    <n v="11"/>
    <n v="100"/>
    <n v="0.26"/>
    <x v="2"/>
    <s v="Jonathan"/>
    <n v="814"/>
    <x v="11"/>
    <s v="20%-40%"/>
    <m/>
  </r>
  <r>
    <n v="10056"/>
    <d v="2026-12-21T00:00:00"/>
    <x v="9"/>
    <s v="Riley Cook"/>
    <x v="53"/>
    <x v="55"/>
    <x v="17"/>
    <n v="32"/>
    <n v="644"/>
    <n v="0.42"/>
    <x v="1"/>
    <s v="Connor"/>
    <n v="11952.64"/>
    <x v="9"/>
    <s v="40%-60%"/>
    <m/>
  </r>
  <r>
    <n v="10057"/>
    <d v="2026-10-05T00:00:00"/>
    <x v="8"/>
    <s v="Jackson Morgan"/>
    <x v="54"/>
    <x v="56"/>
    <x v="17"/>
    <n v="15"/>
    <n v="1412"/>
    <n v="0.28999999999999998"/>
    <x v="3"/>
    <s v="Everett"/>
    <n v="15037.8"/>
    <x v="8"/>
    <s v="20%-40%"/>
    <m/>
  </r>
  <r>
    <n v="10058"/>
    <d v="2026-07-24T00:00:00"/>
    <x v="10"/>
    <s v="Zoey Bell"/>
    <x v="55"/>
    <x v="57"/>
    <x v="17"/>
    <n v="18"/>
    <n v="1962"/>
    <n v="0.36"/>
    <x v="2"/>
    <s v="Micah"/>
    <n v="22602.240000000002"/>
    <x v="10"/>
    <s v="20%-40%"/>
    <m/>
  </r>
  <r>
    <n v="10059"/>
    <d v="2026-05-04T00:00:00"/>
    <x v="0"/>
    <s v="Sebastian Murphy"/>
    <x v="56"/>
    <x v="58"/>
    <x v="17"/>
    <n v="2"/>
    <n v="312"/>
    <n v="0.22"/>
    <x v="1"/>
    <s v="Ian"/>
    <n v="486.72"/>
    <x v="0"/>
    <s v="20%-40%"/>
    <m/>
  </r>
  <r>
    <n v="10060"/>
    <d v="2026-07-03T00:00:00"/>
    <x v="10"/>
    <s v="Nora Bailey"/>
    <x v="57"/>
    <x v="59"/>
    <x v="17"/>
    <n v="82"/>
    <n v="881"/>
    <n v="0.41"/>
    <x v="1"/>
    <s v="Adam"/>
    <n v="42622.780000000013"/>
    <x v="10"/>
    <s v="40%-60%"/>
    <m/>
  </r>
  <r>
    <n v="10061"/>
    <d v="2026-01-08T00:00:00"/>
    <x v="3"/>
    <s v="Jack Rivera"/>
    <x v="58"/>
    <x v="60"/>
    <x v="21"/>
    <n v="69"/>
    <n v="1847"/>
    <n v="0.13"/>
    <x v="4"/>
    <s v="Maya"/>
    <n v="110875.41"/>
    <x v="3"/>
    <s v="0-20%"/>
    <m/>
  </r>
  <r>
    <n v="10062"/>
    <d v="2026-02-06T00:00:00"/>
    <x v="11"/>
    <s v="Camila Cooper"/>
    <x v="59"/>
    <x v="61"/>
    <x v="21"/>
    <n v="7"/>
    <n v="621"/>
    <n v="0.32"/>
    <x v="0"/>
    <s v="Olivia"/>
    <n v="2955.96"/>
    <x v="11"/>
    <s v="20%-40%"/>
    <m/>
  </r>
  <r>
    <n v="10063"/>
    <d v="2026-04-02T00:00:00"/>
    <x v="4"/>
    <s v="Owen Richardson"/>
    <x v="60"/>
    <x v="62"/>
    <x v="21"/>
    <n v="4"/>
    <n v="111"/>
    <n v="0.48"/>
    <x v="0"/>
    <s v="Emma"/>
    <n v="230.88"/>
    <x v="4"/>
    <s v="40%-60%"/>
    <m/>
  </r>
  <r>
    <n v="10064"/>
    <d v="2026-10-24T00:00:00"/>
    <x v="8"/>
    <s v="Ellie Cox"/>
    <x v="61"/>
    <x v="63"/>
    <x v="21"/>
    <n v="38"/>
    <n v="1641"/>
    <n v="0.33"/>
    <x v="1"/>
    <s v="Amelia"/>
    <n v="41779.859999999993"/>
    <x v="8"/>
    <s v="20%-40%"/>
    <m/>
  </r>
  <r>
    <n v="10065"/>
    <d v="2026-09-10T00:00:00"/>
    <x v="5"/>
    <s v="Henry Howard"/>
    <x v="62"/>
    <x v="64"/>
    <x v="21"/>
    <n v="96"/>
    <n v="1964"/>
    <n v="0.31"/>
    <x v="0"/>
    <s v="Sophia"/>
    <n v="130095.36"/>
    <x v="5"/>
    <s v="20%-40%"/>
    <m/>
  </r>
  <r>
    <n v="10066"/>
    <d v="2026-08-13T00:00:00"/>
    <x v="6"/>
    <s v="Eleanor Ward"/>
    <x v="63"/>
    <x v="65"/>
    <x v="22"/>
    <n v="13"/>
    <n v="1086"/>
    <n v="0.18"/>
    <x v="1"/>
    <s v="Isabella"/>
    <n v="11576.76"/>
    <x v="6"/>
    <s v="0-20%"/>
    <m/>
  </r>
  <r>
    <n v="10067"/>
    <d v="2026-02-03T00:00:00"/>
    <x v="11"/>
    <s v="Wyatt Torres"/>
    <x v="20"/>
    <x v="66"/>
    <x v="22"/>
    <n v="19"/>
    <n v="929"/>
    <n v="0.31"/>
    <x v="2"/>
    <s v="Ava"/>
    <n v="12179.19"/>
    <x v="11"/>
    <s v="20%-40%"/>
    <m/>
  </r>
  <r>
    <n v="10068"/>
    <d v="2026-01-26T00:00:00"/>
    <x v="3"/>
    <s v="Hazel Peterson"/>
    <x v="64"/>
    <x v="67"/>
    <x v="22"/>
    <n v="66"/>
    <n v="1940"/>
    <n v="0.3"/>
    <x v="2"/>
    <s v="Mia"/>
    <n v="89628"/>
    <x v="3"/>
    <s v="20%-40%"/>
    <m/>
  </r>
  <r>
    <n v="10069"/>
    <d v="2026-07-06T00:00:00"/>
    <x v="10"/>
    <s v="Levi Gray"/>
    <x v="21"/>
    <x v="68"/>
    <x v="23"/>
    <n v="39"/>
    <n v="1582"/>
    <n v="0.15"/>
    <x v="3"/>
    <s v="Evelyn"/>
    <n v="52443.3"/>
    <x v="10"/>
    <s v="0-20%"/>
    <m/>
  </r>
  <r>
    <n v="10070"/>
    <d v="2026-10-02T00:00:00"/>
    <x v="8"/>
    <s v="Violet Ramirez"/>
    <x v="65"/>
    <x v="69"/>
    <x v="24"/>
    <n v="77"/>
    <n v="303"/>
    <n v="0.28000000000000003"/>
    <x v="1"/>
    <s v="Luna"/>
    <n v="16798.32"/>
    <x v="8"/>
    <s v="20%-40%"/>
    <m/>
  </r>
  <r>
    <n v="10071"/>
    <d v="2026-09-16T00:00:00"/>
    <x v="5"/>
    <s v="Isaac James"/>
    <x v="22"/>
    <x v="70"/>
    <x v="24"/>
    <n v="51"/>
    <n v="529"/>
    <n v="0.14000000000000001"/>
    <x v="4"/>
    <s v="Harper"/>
    <n v="23201.94"/>
    <x v="5"/>
    <s v="0-20%"/>
    <m/>
  </r>
  <r>
    <n v="10072"/>
    <d v="2026-05-02T00:00:00"/>
    <x v="0"/>
    <s v="Aurora Watson"/>
    <x v="66"/>
    <x v="71"/>
    <x v="24"/>
    <n v="46"/>
    <n v="1656"/>
    <n v="0.45"/>
    <x v="5"/>
    <s v="Camila"/>
    <n v="41896.800000000003"/>
    <x v="0"/>
    <s v="40%-60%"/>
    <m/>
  </r>
  <r>
    <n v="10073"/>
    <d v="2026-05-04T00:00:00"/>
    <x v="0"/>
    <s v="Gabriel Brooks"/>
    <x v="13"/>
    <x v="72"/>
    <x v="25"/>
    <n v="78"/>
    <n v="1771"/>
    <n v="0.1"/>
    <x v="1"/>
    <s v="Sofia"/>
    <n v="124324.2"/>
    <x v="0"/>
    <s v="0-20%"/>
    <m/>
  </r>
  <r>
    <n v="10074"/>
    <d v="2026-07-08T00:00:00"/>
    <x v="10"/>
    <s v="Savannah Kelly"/>
    <x v="67"/>
    <x v="73"/>
    <x v="26"/>
    <n v="95"/>
    <n v="119"/>
    <n v="0.19"/>
    <x v="1"/>
    <s v="Scarlett"/>
    <n v="9157.0500000000011"/>
    <x v="10"/>
    <s v="0-20%"/>
    <m/>
  </r>
  <r>
    <n v="10075"/>
    <d v="2026-11-16T00:00:00"/>
    <x v="7"/>
    <s v="Julian Sanders"/>
    <x v="12"/>
    <x v="74"/>
    <x v="27"/>
    <n v="98"/>
    <n v="1680"/>
    <n v="0.41"/>
    <x v="3"/>
    <s v="Elizabeth"/>
    <n v="97137.60000000002"/>
    <x v="7"/>
    <s v="40%-60%"/>
    <m/>
  </r>
  <r>
    <n v="10076"/>
    <d v="2026-04-11T00:00:00"/>
    <x v="4"/>
    <s v="Audrey Price"/>
    <x v="68"/>
    <x v="75"/>
    <x v="28"/>
    <n v="50"/>
    <n v="838"/>
    <n v="0.14000000000000001"/>
    <x v="1"/>
    <s v="Eleanor"/>
    <n v="36034"/>
    <x v="4"/>
    <s v="0-20%"/>
    <m/>
  </r>
  <r>
    <n v="10077"/>
    <d v="2026-02-14T00:00:00"/>
    <x v="11"/>
    <s v="Leo Bennett"/>
    <x v="69"/>
    <x v="76"/>
    <x v="28"/>
    <n v="70"/>
    <n v="1750"/>
    <n v="0.28000000000000003"/>
    <x v="1"/>
    <s v="Emily"/>
    <n v="88200"/>
    <x v="11"/>
    <s v="20%-40%"/>
    <m/>
  </r>
  <r>
    <n v="10078"/>
    <d v="2026-02-12T00:00:00"/>
    <x v="11"/>
    <s v="Claire Wood"/>
    <x v="70"/>
    <x v="77"/>
    <x v="28"/>
    <n v="12"/>
    <n v="1020"/>
    <n v="0.34"/>
    <x v="0"/>
    <s v="Chloe"/>
    <n v="8078.3999999999987"/>
    <x v="11"/>
    <s v="20%-40%"/>
    <m/>
  </r>
  <r>
    <n v="10079"/>
    <d v="2026-08-04T00:00:00"/>
    <x v="6"/>
    <s v="Mateo Barnes"/>
    <x v="71"/>
    <x v="78"/>
    <x v="28"/>
    <n v="44"/>
    <n v="250"/>
    <n v="0.45"/>
    <x v="1"/>
    <s v="Mila"/>
    <n v="6050.0000000000009"/>
    <x v="6"/>
    <s v="40%-60%"/>
    <m/>
  </r>
  <r>
    <n v="10080"/>
    <d v="2026-08-26T00:00:00"/>
    <x v="6"/>
    <s v="Skylar Ross"/>
    <x v="16"/>
    <x v="79"/>
    <x v="28"/>
    <n v="33"/>
    <n v="485"/>
    <n v="0.39"/>
    <x v="3"/>
    <s v="Violet"/>
    <n v="9763.0499999999993"/>
    <x v="6"/>
    <s v="20%-40%"/>
    <m/>
  </r>
  <r>
    <n v="10081"/>
    <d v="2026-07-06T00:00:00"/>
    <x v="10"/>
    <s v="Anthony Henderson"/>
    <x v="72"/>
    <x v="80"/>
    <x v="29"/>
    <n v="42"/>
    <n v="357"/>
    <n v="0.17"/>
    <x v="4"/>
    <s v="Penelope"/>
    <n v="12445.02"/>
    <x v="10"/>
    <s v="0-20%"/>
    <m/>
  </r>
  <r>
    <n v="10082"/>
    <d v="2026-10-23T00:00:00"/>
    <x v="8"/>
    <s v="Lucy Coleman"/>
    <x v="73"/>
    <x v="81"/>
    <x v="29"/>
    <n v="62"/>
    <n v="614"/>
    <n v="0.14000000000000001"/>
    <x v="2"/>
    <s v="Gianna"/>
    <n v="32738.48"/>
    <x v="8"/>
    <s v="0-20%"/>
    <m/>
  </r>
  <r>
    <n v="10083"/>
    <d v="2026-08-12T00:00:00"/>
    <x v="6"/>
    <s v="Dylan Jenkins"/>
    <x v="74"/>
    <x v="82"/>
    <x v="30"/>
    <n v="52"/>
    <n v="1764"/>
    <n v="0.26"/>
    <x v="4"/>
    <s v="Aria"/>
    <n v="67878.720000000001"/>
    <x v="6"/>
    <s v="20%-40%"/>
    <m/>
  </r>
  <r>
    <n v="10084"/>
    <d v="2026-03-24T00:00:00"/>
    <x v="2"/>
    <s v="Stella Perry"/>
    <x v="75"/>
    <x v="83"/>
    <x v="31"/>
    <n v="42"/>
    <n v="680"/>
    <n v="0.44"/>
    <x v="0"/>
    <s v="Abigail"/>
    <n v="15993.6"/>
    <x v="2"/>
    <s v="40%-60%"/>
    <m/>
  </r>
  <r>
    <n v="10085"/>
    <d v="2026-12-15T00:00:00"/>
    <x v="9"/>
    <s v="Lincoln Powell"/>
    <x v="76"/>
    <x v="84"/>
    <x v="31"/>
    <n v="34"/>
    <n v="883"/>
    <n v="0.16"/>
    <x v="4"/>
    <s v="Ella"/>
    <n v="25218.48"/>
    <x v="9"/>
    <s v="0-20%"/>
    <m/>
  </r>
  <r>
    <n v="10086"/>
    <d v="2026-03-18T00:00:00"/>
    <x v="2"/>
    <s v="Maya Long"/>
    <x v="77"/>
    <x v="85"/>
    <x v="32"/>
    <n v="18"/>
    <n v="640"/>
    <n v="0.4"/>
    <x v="5"/>
    <s v="Avery"/>
    <n v="6912"/>
    <x v="2"/>
    <s v="20%-40%"/>
    <m/>
  </r>
  <r>
    <n v="10087"/>
    <d v="2026-06-27T00:00:00"/>
    <x v="1"/>
    <s v="Christopher Patterson"/>
    <x v="78"/>
    <x v="86"/>
    <x v="32"/>
    <n v="33"/>
    <n v="1858"/>
    <n v="0.32"/>
    <x v="2"/>
    <s v="Lily"/>
    <n v="41693.519999999997"/>
    <x v="1"/>
    <s v="20%-40%"/>
    <m/>
  </r>
  <r>
    <n v="10088"/>
    <d v="2026-05-23T00:00:00"/>
    <x v="0"/>
    <s v="Naomi Hughes"/>
    <x v="79"/>
    <x v="87"/>
    <x v="32"/>
    <n v="40"/>
    <n v="1805"/>
    <n v="0.48"/>
    <x v="4"/>
    <s v="Aurora"/>
    <n v="37544"/>
    <x v="0"/>
    <s v="40%-60%"/>
    <m/>
  </r>
  <r>
    <n v="10089"/>
    <d v="2026-11-03T00:00:00"/>
    <x v="7"/>
    <s v="Nathan Flores"/>
    <x v="80"/>
    <x v="88"/>
    <x v="32"/>
    <n v="64"/>
    <n v="1570"/>
    <n v="0.1"/>
    <x v="3"/>
    <s v="Nova"/>
    <n v="90432"/>
    <x v="7"/>
    <s v="0-20%"/>
    <m/>
  </r>
  <r>
    <n v="10090"/>
    <d v="2026-07-07T00:00:00"/>
    <x v="10"/>
    <s v="Elena Washington"/>
    <x v="81"/>
    <x v="89"/>
    <x v="2"/>
    <n v="3"/>
    <n v="317"/>
    <n v="0.44"/>
    <x v="3"/>
    <s v="Ellie"/>
    <n v="532.56000000000006"/>
    <x v="10"/>
    <s v="40%-60%"/>
    <m/>
  </r>
  <r>
    <n v="10091"/>
    <d v="2026-05-04T00:00:00"/>
    <x v="0"/>
    <s v="Caleb Butler"/>
    <x v="82"/>
    <x v="90"/>
    <x v="33"/>
    <n v="10"/>
    <n v="784"/>
    <n v="0.43"/>
    <x v="4"/>
    <s v="Grace"/>
    <n v="4468.8"/>
    <x v="0"/>
    <s v="40%-60%"/>
    <m/>
  </r>
  <r>
    <n v="10092"/>
    <d v="2026-07-23T00:00:00"/>
    <x v="10"/>
    <s v="Alice Simmons"/>
    <x v="83"/>
    <x v="91"/>
    <x v="33"/>
    <n v="13"/>
    <n v="1440"/>
    <n v="0.45"/>
    <x v="0"/>
    <s v="Hazel"/>
    <n v="10296"/>
    <x v="10"/>
    <s v="40%-60%"/>
    <m/>
  </r>
  <r>
    <n v="10093"/>
    <d v="2026-01-14T00:00:00"/>
    <x v="3"/>
    <s v="Adrian Foster"/>
    <x v="84"/>
    <x v="92"/>
    <x v="34"/>
    <n v="81"/>
    <n v="173"/>
    <n v="0.48"/>
    <x v="3"/>
    <s v="Willow"/>
    <n v="7286.76"/>
    <x v="3"/>
    <s v="40%-60%"/>
    <m/>
  </r>
  <r>
    <n v="10094"/>
    <d v="2026-01-20T00:00:00"/>
    <x v="3"/>
    <s v="Ruby Gonzales"/>
    <x v="85"/>
    <x v="93"/>
    <x v="34"/>
    <n v="3"/>
    <n v="1980"/>
    <n v="0.32"/>
    <x v="0"/>
    <s v="Emilia"/>
    <n v="4039.2"/>
    <x v="3"/>
    <s v="20%-40%"/>
    <m/>
  </r>
  <r>
    <n v="10095"/>
    <d v="2026-01-09T00:00:00"/>
    <x v="3"/>
    <s v="Nolan Bryant"/>
    <x v="86"/>
    <x v="94"/>
    <x v="33"/>
    <n v="99"/>
    <n v="438"/>
    <n v="0.15"/>
    <x v="0"/>
    <s v="Ivy"/>
    <n v="36857.699999999997"/>
    <x v="3"/>
    <s v="0-20%"/>
    <m/>
  </r>
  <r>
    <n v="10096"/>
    <d v="2026-02-20T00:00:00"/>
    <x v="11"/>
    <s v="Ivy Alexander"/>
    <x v="87"/>
    <x v="95"/>
    <x v="33"/>
    <n v="64"/>
    <n v="1889"/>
    <n v="0.22"/>
    <x v="3"/>
    <s v="Everly"/>
    <n v="94298.880000000005"/>
    <x v="11"/>
    <s v="20%-40%"/>
    <m/>
  </r>
  <r>
    <n v="10097"/>
    <d v="2026-08-20T00:00:00"/>
    <x v="6"/>
    <s v="Cameron Russell"/>
    <x v="88"/>
    <x v="96"/>
    <x v="33"/>
    <n v="50"/>
    <n v="1415"/>
    <n v="0.3"/>
    <x v="0"/>
    <s v="Isla"/>
    <n v="49525"/>
    <x v="6"/>
    <s v="20%-40%"/>
    <m/>
  </r>
  <r>
    <n v="10098"/>
    <d v="2026-07-02T00:00:00"/>
    <x v="10"/>
    <s v="Sophie Griffin"/>
    <x v="89"/>
    <x v="97"/>
    <x v="33"/>
    <n v="85"/>
    <n v="1882"/>
    <n v="0.3"/>
    <x v="0"/>
    <s v="Eliana"/>
    <n v="111979"/>
    <x v="10"/>
    <s v="20%-40%"/>
    <m/>
  </r>
  <r>
    <n v="10099"/>
    <d v="2026-09-14T00:00:00"/>
    <x v="5"/>
    <s v="Aaron Diaz"/>
    <x v="90"/>
    <x v="98"/>
    <x v="35"/>
    <n v="39"/>
    <n v="1827"/>
    <n v="0.12"/>
    <x v="0"/>
    <s v="Naomi"/>
    <n v="62702.64"/>
    <x v="5"/>
    <s v="0-20%"/>
    <m/>
  </r>
  <r>
    <n v="10100"/>
    <d v="2026-06-24T00:00:00"/>
    <x v="1"/>
    <s v="Bella Hayes"/>
    <x v="91"/>
    <x v="99"/>
    <x v="35"/>
    <n v="7"/>
    <n v="487"/>
    <n v="0.2"/>
    <x v="4"/>
    <s v="Elena"/>
    <n v="2727.2"/>
    <x v="1"/>
    <s v="0-20%"/>
    <m/>
  </r>
  <r>
    <n v="10101"/>
    <d v="2026-04-07T00:00:00"/>
    <x v="4"/>
    <s v="Connor Myers"/>
    <x v="92"/>
    <x v="100"/>
    <x v="36"/>
    <n v="61"/>
    <n v="897"/>
    <n v="0.34"/>
    <x v="3"/>
    <s v="Layla"/>
    <n v="36113.219999999987"/>
    <x v="4"/>
    <s v="20%-40%"/>
    <m/>
  </r>
  <r>
    <n v="10102"/>
    <d v="2026-06-23T00:00:00"/>
    <x v="1"/>
    <s v="Sadie Ford"/>
    <x v="93"/>
    <x v="101"/>
    <x v="36"/>
    <n v="79"/>
    <n v="868"/>
    <n v="0.35"/>
    <x v="0"/>
    <s v="Clara"/>
    <n v="44571.8"/>
    <x v="1"/>
    <s v="20%-40%"/>
    <m/>
  </r>
  <r>
    <n v="10103"/>
    <d v="2026-11-18T00:00:00"/>
    <x v="7"/>
    <s v="Jeremiah Hamilton"/>
    <x v="94"/>
    <x v="102"/>
    <x v="36"/>
    <n v="73"/>
    <n v="1452"/>
    <n v="0.23"/>
    <x v="0"/>
    <s v="Lucy"/>
    <n v="81616.92"/>
    <x v="7"/>
    <s v="20%-40%"/>
    <m/>
  </r>
  <r>
    <n v="10104"/>
    <d v="2026-03-25T00:00:00"/>
    <x v="2"/>
    <s v="Lydia Graham"/>
    <x v="95"/>
    <x v="103"/>
    <x v="36"/>
    <n v="73"/>
    <n v="1968"/>
    <n v="0.21"/>
    <x v="2"/>
    <s v="Paisley"/>
    <n v="113494.56"/>
    <x v="2"/>
    <s v="20%-40%"/>
    <m/>
  </r>
  <r>
    <n v="10105"/>
    <d v="2026-01-26T00:00:00"/>
    <x v="3"/>
    <s v="Evan Sullivan"/>
    <x v="8"/>
    <x v="104"/>
    <x v="36"/>
    <n v="58"/>
    <n v="1078"/>
    <n v="0.31"/>
    <x v="4"/>
    <s v="Athena"/>
    <n v="43141.56"/>
    <x v="3"/>
    <s v="20%-40%"/>
    <m/>
  </r>
  <r>
    <n v="10106"/>
    <d v="2026-04-12T00:00:00"/>
    <x v="4"/>
    <s v="Julia Wallace"/>
    <x v="18"/>
    <x v="105"/>
    <x v="36"/>
    <n v="77"/>
    <n v="211"/>
    <n v="0.47"/>
    <x v="0"/>
    <s v="Natalie"/>
    <n v="8610.91"/>
    <x v="4"/>
    <s v="40%-60%"/>
    <m/>
  </r>
  <r>
    <n v="10107"/>
    <d v="2026-10-02T00:00:00"/>
    <x v="8"/>
    <s v="Adam Woods"/>
    <x v="89"/>
    <x v="106"/>
    <x v="36"/>
    <n v="3"/>
    <n v="292"/>
    <n v="0.2"/>
    <x v="1"/>
    <s v="Allison"/>
    <n v="700.80000000000007"/>
    <x v="8"/>
    <s v="0-20%"/>
    <m/>
  </r>
  <r>
    <n v="10108"/>
    <d v="2026-07-24T00:00:00"/>
    <x v="10"/>
    <s v="Caroline Cole"/>
    <x v="96"/>
    <x v="107"/>
    <x v="37"/>
    <n v="76"/>
    <n v="1216"/>
    <n v="0.23"/>
    <x v="3"/>
    <s v="Ruby"/>
    <n v="71160.320000000007"/>
    <x v="10"/>
    <s v="20%-40%"/>
    <m/>
  </r>
  <r>
    <n v="10109"/>
    <d v="2026-02-24T00:00:00"/>
    <x v="11"/>
    <s v="Christian West"/>
    <x v="97"/>
    <x v="108"/>
    <x v="37"/>
    <n v="50"/>
    <n v="1388"/>
    <n v="0.5"/>
    <x v="4"/>
    <s v="Anna"/>
    <n v="34700"/>
    <x v="11"/>
    <s v="40%-60%"/>
    <m/>
  </r>
  <r>
    <n v="10110"/>
    <d v="2026-05-03T00:00:00"/>
    <x v="0"/>
    <s v="Madeline Jordan"/>
    <x v="98"/>
    <x v="109"/>
    <x v="36"/>
    <n v="59"/>
    <n v="385"/>
    <n v="0.39"/>
    <x v="4"/>
    <s v="Iris"/>
    <n v="13856.15"/>
    <x v="0"/>
    <s v="20%-40%"/>
    <m/>
  </r>
  <r>
    <n v="10111"/>
    <d v="2026-01-17T00:00:00"/>
    <x v="3"/>
    <s v="Jonathan Owens"/>
    <x v="99"/>
    <x v="110"/>
    <x v="36"/>
    <n v="77"/>
    <n v="648"/>
    <n v="0.17"/>
    <x v="2"/>
    <s v="Bella"/>
    <n v="41413.68"/>
    <x v="3"/>
    <s v="0-20%"/>
    <m/>
  </r>
  <r>
    <n v="10112"/>
    <d v="2026-12-03T00:00:00"/>
    <x v="9"/>
    <s v="Natalie Reynolds"/>
    <x v="100"/>
    <x v="111"/>
    <x v="38"/>
    <n v="98"/>
    <n v="587"/>
    <n v="0.23"/>
    <x v="2"/>
    <s v="Claire"/>
    <n v="44295.02"/>
    <x v="9"/>
    <s v="20%-40%"/>
    <m/>
  </r>
  <r>
    <n v="10113"/>
    <d v="2026-12-14T00:00:00"/>
    <x v="9"/>
    <s v="Charles Fisher"/>
    <x v="101"/>
    <x v="112"/>
    <x v="38"/>
    <n v="74"/>
    <n v="929"/>
    <n v="0.46"/>
    <x v="4"/>
    <s v="Alice"/>
    <n v="37122.839999999997"/>
    <x v="9"/>
    <s v="40%-60%"/>
    <m/>
  </r>
  <r>
    <n v="10114"/>
    <d v="2026-04-03T00:00:00"/>
    <x v="4"/>
    <s v="Kennedy Ellis"/>
    <x v="102"/>
    <x v="113"/>
    <x v="39"/>
    <n v="95"/>
    <n v="1271"/>
    <n v="0.46"/>
    <x v="3"/>
    <s v="Cora"/>
    <n v="65202.3"/>
    <x v="4"/>
    <s v="40%-60%"/>
    <m/>
  </r>
  <r>
    <n v="10115"/>
    <d v="2026-10-22T00:00:00"/>
    <x v="8"/>
    <s v="Isaiah Harrison"/>
    <x v="103"/>
    <x v="114"/>
    <x v="39"/>
    <n v="44"/>
    <n v="728"/>
    <n v="0.17"/>
    <x v="0"/>
    <s v="Madeline"/>
    <n v="26586.560000000001"/>
    <x v="8"/>
    <s v="0-20%"/>
    <m/>
  </r>
  <r>
    <n v="10116"/>
    <d v="2026-02-02T00:00:00"/>
    <x v="11"/>
    <s v="Sarah Gibson"/>
    <x v="104"/>
    <x v="115"/>
    <x v="39"/>
    <n v="54"/>
    <n v="340"/>
    <n v="0.47"/>
    <x v="2"/>
    <s v="Josephine"/>
    <n v="9730.8000000000011"/>
    <x v="11"/>
    <s v="40%-60%"/>
    <m/>
  </r>
  <r>
    <n v="10117"/>
    <d v="2026-12-18T00:00:00"/>
    <x v="9"/>
    <s v="Dominic McDonald"/>
    <x v="105"/>
    <x v="116"/>
    <x v="40"/>
    <n v="32"/>
    <n v="523"/>
    <n v="0.43"/>
    <x v="3"/>
    <s v="Sadie"/>
    <n v="9539.52"/>
    <x v="9"/>
    <s v="40%-60%"/>
    <m/>
  </r>
  <r>
    <n v="10118"/>
    <d v="2026-12-25T00:00:00"/>
    <x v="9"/>
    <s v="Allison Cruz"/>
    <x v="106"/>
    <x v="117"/>
    <x v="36"/>
    <n v="100"/>
    <n v="1339"/>
    <n v="0.44"/>
    <x v="3"/>
    <s v="Delilah"/>
    <n v="74984"/>
    <x v="9"/>
    <s v="40%-60%"/>
    <m/>
  </r>
  <r>
    <n v="10119"/>
    <d v="2026-10-09T00:00:00"/>
    <x v="8"/>
    <s v="Austin Marshall"/>
    <x v="107"/>
    <x v="118"/>
    <x v="36"/>
    <n v="68"/>
    <n v="1352"/>
    <n v="0.19"/>
    <x v="2"/>
    <s v="Caroline"/>
    <n v="74468.160000000003"/>
    <x v="8"/>
    <s v="0-20%"/>
    <m/>
  </r>
  <r>
    <n v="10120"/>
    <d v="2026-07-09T00:00:00"/>
    <x v="10"/>
    <s v="Gabriella Ortiz"/>
    <x v="108"/>
    <x v="119"/>
    <x v="41"/>
    <n v="43"/>
    <n v="305"/>
    <n v="0.22"/>
    <x v="2"/>
    <s v="Vivian"/>
    <n v="10229.700000000001"/>
    <x v="10"/>
    <s v="20%-40%"/>
    <m/>
  </r>
  <r>
    <n v="10121"/>
    <d v="2026-02-06T00:00:00"/>
    <x v="11"/>
    <s v="Robert Gomez"/>
    <x v="109"/>
    <x v="120"/>
    <x v="42"/>
    <n v="23"/>
    <n v="1810"/>
    <n v="0.15"/>
    <x v="1"/>
    <s v="Audrey"/>
    <n v="35385.5"/>
    <x v="11"/>
    <s v="0-20%"/>
    <m/>
  </r>
  <r>
    <n v="10122"/>
    <d v="2026-11-03T00:00:00"/>
    <x v="7"/>
    <s v="Valentina Murray"/>
    <x v="110"/>
    <x v="121"/>
    <x v="42"/>
    <n v="7"/>
    <n v="1908"/>
    <n v="0.49"/>
    <x v="3"/>
    <s v="Nevaeh"/>
    <n v="6811.56"/>
    <x v="7"/>
    <s v="40%-60%"/>
    <m/>
  </r>
  <r>
    <n v="10123"/>
    <d v="2026-06-11T00:00:00"/>
    <x v="1"/>
    <s v="Thomas Freeman"/>
    <x v="111"/>
    <x v="122"/>
    <x v="42"/>
    <n v="53"/>
    <n v="1341"/>
    <n v="0.12"/>
    <x v="4"/>
    <s v="Serenity"/>
    <n v="62544.24"/>
    <x v="1"/>
    <s v="0-20%"/>
    <m/>
  </r>
  <r>
    <n v="10124"/>
    <d v="2026-05-23T00:00:00"/>
    <x v="0"/>
    <s v="Jasmine Wells"/>
    <x v="112"/>
    <x v="123"/>
    <x v="42"/>
    <n v="5"/>
    <n v="1792"/>
    <n v="0.19"/>
    <x v="3"/>
    <s v="Kennedy"/>
    <n v="7257.6"/>
    <x v="0"/>
    <s v="0-20%"/>
    <m/>
  </r>
  <r>
    <n v="10125"/>
    <d v="2026-06-06T00:00:00"/>
    <x v="1"/>
    <s v="Nathaniel Webb"/>
    <x v="113"/>
    <x v="124"/>
    <x v="42"/>
    <n v="5"/>
    <n v="752"/>
    <n v="0.1"/>
    <x v="3"/>
    <s v="Valentina"/>
    <n v="3384"/>
    <x v="1"/>
    <s v="0-20%"/>
    <m/>
  </r>
  <r>
    <n v="10126"/>
    <d v="2026-04-26T00:00:00"/>
    <x v="4"/>
    <s v="Katherine Simpson"/>
    <x v="114"/>
    <x v="125"/>
    <x v="39"/>
    <n v="7"/>
    <n v="1248"/>
    <n v="0.32"/>
    <x v="2"/>
    <s v="Madelyn"/>
    <n v="5940.48"/>
    <x v="4"/>
    <s v="20%-40%"/>
    <m/>
  </r>
  <r>
    <n v="10127"/>
    <d v="2026-06-09T00:00:00"/>
    <x v="1"/>
    <s v="Miles Stevens"/>
    <x v="115"/>
    <x v="126"/>
    <x v="41"/>
    <n v="53"/>
    <n v="1336"/>
    <n v="0.22"/>
    <x v="3"/>
    <s v="Raelynn"/>
    <n v="55230.240000000013"/>
    <x v="1"/>
    <s v="20%-40%"/>
    <m/>
  </r>
  <r>
    <n v="10128"/>
    <d v="2026-07-06T00:00:00"/>
    <x v="10"/>
    <s v="Melanie Tucker"/>
    <x v="116"/>
    <x v="127"/>
    <x v="41"/>
    <n v="96"/>
    <n v="1705"/>
    <n v="0.28999999999999998"/>
    <x v="2"/>
    <s v="Piper"/>
    <n v="116212.8"/>
    <x v="10"/>
    <s v="20%-40%"/>
    <m/>
  </r>
  <r>
    <n v="10129"/>
    <d v="2026-03-14T00:00:00"/>
    <x v="2"/>
    <s v="Jason Porter"/>
    <x v="117"/>
    <x v="128"/>
    <x v="41"/>
    <n v="59"/>
    <n v="1139"/>
    <n v="0.22"/>
    <x v="0"/>
    <s v="Lydia"/>
    <n v="52416.78"/>
    <x v="2"/>
    <s v="20%-40%"/>
    <m/>
  </r>
  <r>
    <n v="10130"/>
    <d v="2026-05-11T00:00:00"/>
    <x v="0"/>
    <s v="Ariana Hunter"/>
    <x v="118"/>
    <x v="129"/>
    <x v="41"/>
    <n v="29"/>
    <n v="1816"/>
    <n v="0.48"/>
    <x v="3"/>
    <s v="Jade"/>
    <n v="27385.279999999999"/>
    <x v="0"/>
    <s v="40%-60%"/>
    <m/>
  </r>
  <r>
    <n v="10131"/>
    <d v="2026-06-08T00:00:00"/>
    <x v="1"/>
    <s v="Brandon Hicks"/>
    <x v="119"/>
    <x v="130"/>
    <x v="43"/>
    <n v="5"/>
    <n v="590"/>
    <n v="0.31"/>
    <x v="2"/>
    <s v="Arya"/>
    <n v="2035.5"/>
    <x v="1"/>
    <s v="20%-40%"/>
    <m/>
  </r>
  <r>
    <n v="10132"/>
    <d v="2026-09-11T00:00:00"/>
    <x v="5"/>
    <s v="Cecilia Crawford"/>
    <x v="120"/>
    <x v="131"/>
    <x v="43"/>
    <n v="37"/>
    <n v="519"/>
    <n v="0.46"/>
    <x v="4"/>
    <s v="Sophie"/>
    <n v="10369.620000000001"/>
    <x v="5"/>
    <s v="40%-60%"/>
    <m/>
  </r>
  <r>
    <n v="10133"/>
    <d v="2026-03-05T00:00:00"/>
    <x v="2"/>
    <s v="Kevin Henry"/>
    <x v="121"/>
    <x v="132"/>
    <x v="44"/>
    <n v="73"/>
    <n v="1932"/>
    <n v="0.47"/>
    <x v="1"/>
    <s v="Melanie"/>
    <n v="74749.08"/>
    <x v="2"/>
    <s v="40%-60%"/>
    <m/>
  </r>
  <r>
    <n v="10134"/>
    <d v="2026-05-01T00:00:00"/>
    <x v="0"/>
    <s v="Delilah Boyd"/>
    <x v="122"/>
    <x v="133"/>
    <x v="44"/>
    <n v="60"/>
    <n v="1533"/>
    <n v="0.28000000000000003"/>
    <x v="2"/>
    <s v="Julia"/>
    <n v="66225.599999999991"/>
    <x v="0"/>
    <s v="20%-40%"/>
    <m/>
  </r>
  <r>
    <n v="10135"/>
    <d v="2026-11-01T00:00:00"/>
    <x v="7"/>
    <s v="Brian Mason"/>
    <x v="123"/>
    <x v="134"/>
    <x v="41"/>
    <n v="23"/>
    <n v="1849"/>
    <n v="0.19"/>
    <x v="2"/>
    <s v="Rose"/>
    <n v="34446.870000000003"/>
    <x v="7"/>
    <s v="0-20%"/>
    <m/>
  </r>
  <r>
    <n v="10136"/>
    <d v="2026-04-16T00:00:00"/>
    <x v="4"/>
    <s v="Piper Morales"/>
    <x v="124"/>
    <x v="135"/>
    <x v="45"/>
    <n v="95"/>
    <n v="176"/>
    <n v="0.33"/>
    <x v="3"/>
    <s v="Maria"/>
    <n v="11202.4"/>
    <x v="4"/>
    <s v="20%-40%"/>
    <m/>
  </r>
  <r>
    <n v="10137"/>
    <d v="2026-02-02T00:00:00"/>
    <x v="11"/>
    <s v="Eric Kennedy"/>
    <x v="125"/>
    <x v="136"/>
    <x v="46"/>
    <n v="68"/>
    <n v="1473"/>
    <n v="0.2"/>
    <x v="4"/>
    <s v="Daisy"/>
    <n v="80131.200000000012"/>
    <x v="11"/>
    <s v="0-20%"/>
    <m/>
  </r>
  <r>
    <n v="10138"/>
    <d v="2026-01-13T00:00:00"/>
    <x v="3"/>
    <s v="Jade Warren"/>
    <x v="126"/>
    <x v="137"/>
    <x v="47"/>
    <n v="49"/>
    <n v="1787"/>
    <n v="0.28000000000000003"/>
    <x v="2"/>
    <s v="Jasmine"/>
    <n v="63045.36"/>
    <x v="3"/>
    <s v="20%-40%"/>
    <m/>
  </r>
  <r>
    <n v="10139"/>
    <d v="2026-01-09T00:00:00"/>
    <x v="3"/>
    <s v="Justin Dixon"/>
    <x v="127"/>
    <x v="138"/>
    <x v="47"/>
    <n v="65"/>
    <n v="1216"/>
    <n v="0.28000000000000003"/>
    <x v="1"/>
    <s v="Faith"/>
    <n v="56908.800000000003"/>
    <x v="3"/>
    <s v="20%-40%"/>
    <m/>
  </r>
  <r>
    <n v="10140"/>
    <d v="2026-05-17T00:00:00"/>
    <x v="0"/>
    <s v="Rose Riley"/>
    <x v="128"/>
    <x v="139"/>
    <x v="47"/>
    <n v="49"/>
    <n v="807"/>
    <n v="0.34"/>
    <x v="2"/>
    <s v="Eden"/>
    <n v="26098.38"/>
    <x v="0"/>
    <s v="20%-40%"/>
    <m/>
  </r>
  <r>
    <n v="10141"/>
    <d v="2026-08-04T00:00:00"/>
    <x v="6"/>
    <s v="Steven Ramos"/>
    <x v="129"/>
    <x v="140"/>
    <x v="47"/>
    <n v="79"/>
    <n v="585"/>
    <n v="0.4"/>
    <x v="2"/>
    <s v="Skylar"/>
    <n v="27729"/>
    <x v="6"/>
    <s v="20%-40%"/>
    <m/>
  </r>
  <r>
    <n v="10142"/>
    <d v="2026-11-11T00:00:00"/>
    <x v="7"/>
    <s v="Cora Reyes"/>
    <x v="130"/>
    <x v="141"/>
    <x v="2"/>
    <n v="18"/>
    <n v="1225"/>
    <n v="0.32"/>
    <x v="3"/>
    <s v="Summer"/>
    <n v="14994"/>
    <x v="7"/>
    <s v="20%-40%"/>
    <m/>
  </r>
  <r>
    <n v="10143"/>
    <d v="2026-08-17T00:00:00"/>
    <x v="6"/>
    <s v="Timothy Burns"/>
    <x v="131"/>
    <x v="142"/>
    <x v="48"/>
    <n v="57"/>
    <n v="1411"/>
    <n v="0.18"/>
    <x v="3"/>
    <s v="Autumn"/>
    <n v="65950.14"/>
    <x v="6"/>
    <s v="0-20%"/>
    <m/>
  </r>
  <r>
    <n v="10144"/>
    <d v="2026-12-23T00:00:00"/>
    <x v="9"/>
    <s v="Paige Gordon"/>
    <x v="132"/>
    <x v="143"/>
    <x v="48"/>
    <n v="96"/>
    <n v="1805"/>
    <n v="0.4"/>
    <x v="3"/>
    <s v="Brooke"/>
    <n v="103968"/>
    <x v="9"/>
    <s v="20%-40%"/>
    <m/>
  </r>
  <r>
    <n v="10145"/>
    <d v="2026-06-26T00:00:00"/>
    <x v="1"/>
    <s v="Patrick Shaw"/>
    <x v="133"/>
    <x v="144"/>
    <x v="49"/>
    <n v="82"/>
    <n v="578"/>
    <n v="0.28999999999999998"/>
    <x v="3"/>
    <s v="Paige"/>
    <n v="33651.160000000003"/>
    <x v="1"/>
    <s v="20%-40%"/>
    <m/>
  </r>
  <r>
    <n v="10146"/>
    <d v="2026-05-22T00:00:00"/>
    <x v="0"/>
    <s v="Eden Holmes"/>
    <x v="134"/>
    <x v="145"/>
    <x v="49"/>
    <n v="75"/>
    <n v="1356"/>
    <n v="0.44"/>
    <x v="2"/>
    <s v="Sienna"/>
    <n v="56952.000000000007"/>
    <x v="0"/>
    <s v="40%-60%"/>
    <m/>
  </r>
  <r>
    <n v="10147"/>
    <d v="2026-11-15T00:00:00"/>
    <x v="7"/>
    <s v="Jeffrey Rice"/>
    <x v="135"/>
    <x v="146"/>
    <x v="50"/>
    <n v="71"/>
    <n v="133"/>
    <n v="0.15"/>
    <x v="2"/>
    <s v="Freya"/>
    <n v="8026.55"/>
    <x v="7"/>
    <s v="0-20%"/>
    <m/>
  </r>
  <r>
    <n v="10148"/>
    <d v="2026-02-09T00:00:00"/>
    <x v="11"/>
    <s v="Faith Robertson"/>
    <x v="136"/>
    <x v="147"/>
    <x v="50"/>
    <n v="19"/>
    <n v="1130"/>
    <n v="0.43"/>
    <x v="1"/>
    <s v="Layne"/>
    <n v="12237.9"/>
    <x v="11"/>
    <s v="40%-60%"/>
    <m/>
  </r>
  <r>
    <n v="10149"/>
    <d v="2026-09-25T00:00:00"/>
    <x v="5"/>
    <s v="Gregory Hunt"/>
    <x v="137"/>
    <x v="148"/>
    <x v="51"/>
    <n v="83"/>
    <n v="1717"/>
    <n v="0.44"/>
    <x v="2"/>
    <s v="Tessa"/>
    <n v="79806.16"/>
    <x v="5"/>
    <s v="40%-60%"/>
    <m/>
  </r>
  <r>
    <n v="10150"/>
    <d v="2026-06-27T00:00:00"/>
    <x v="1"/>
    <s v="Clara Black"/>
    <x v="138"/>
    <x v="149"/>
    <x v="51"/>
    <n v="23"/>
    <n v="1934"/>
    <n v="0.38"/>
    <x v="0"/>
    <s v="Wren"/>
    <n v="27578.84"/>
    <x v="1"/>
    <s v="20%-40%"/>
    <m/>
  </r>
  <r>
    <n v="10151"/>
    <d v="2026-02-20T00:00:00"/>
    <x v="11"/>
    <s v="Scott Daniels"/>
    <x v="139"/>
    <x v="150"/>
    <x v="52"/>
    <n v="85"/>
    <n v="116"/>
    <n v="0.49"/>
    <x v="4"/>
    <s v="Zayn"/>
    <n v="5028.6000000000004"/>
    <x v="11"/>
    <s v="40%-60%"/>
    <m/>
  </r>
  <r>
    <n v="10152"/>
    <d v="2026-04-14T00:00:00"/>
    <x v="4"/>
    <s v="Maria Palmer"/>
    <x v="140"/>
    <x v="151"/>
    <x v="52"/>
    <n v="67"/>
    <n v="1481"/>
    <n v="0.15"/>
    <x v="0"/>
    <s v="Kai"/>
    <n v="84342.95"/>
    <x v="4"/>
    <s v="0-20%"/>
    <m/>
  </r>
  <r>
    <n v="10153"/>
    <d v="2026-08-14T00:00:00"/>
    <x v="6"/>
    <s v="Jonathan Mills"/>
    <x v="141"/>
    <x v="152"/>
    <x v="52"/>
    <n v="68"/>
    <n v="1074"/>
    <n v="0.19"/>
    <x v="0"/>
    <s v="Jaxon"/>
    <n v="59155.920000000013"/>
    <x v="6"/>
    <s v="0-20%"/>
    <m/>
  </r>
  <r>
    <n v="10154"/>
    <d v="2026-04-22T00:00:00"/>
    <x v="4"/>
    <s v="Daisy Nichols"/>
    <x v="142"/>
    <x v="153"/>
    <x v="50"/>
    <n v="81"/>
    <n v="1627"/>
    <n v="0.5"/>
    <x v="0"/>
    <s v="Roman"/>
    <n v="65893.5"/>
    <x v="4"/>
    <s v="40%-60%"/>
    <m/>
  </r>
  <r>
    <n v="10155"/>
    <d v="2026-03-10T00:00:00"/>
    <x v="2"/>
    <s v="Mark Grant"/>
    <x v="143"/>
    <x v="154"/>
    <x v="50"/>
    <n v="24"/>
    <n v="573"/>
    <n v="0.44"/>
    <x v="4"/>
    <s v="Axel"/>
    <n v="7701.1200000000008"/>
    <x v="2"/>
    <s v="40%-60%"/>
    <m/>
  </r>
  <r>
    <n v="10156"/>
    <d v="2026-07-08T00:00:00"/>
    <x v="10"/>
    <s v="Jasmine Knight"/>
    <x v="144"/>
    <x v="155"/>
    <x v="53"/>
    <n v="76"/>
    <n v="1698"/>
    <n v="0.5"/>
    <x v="3"/>
    <s v="Finn"/>
    <n v="64524"/>
    <x v="10"/>
    <s v="40%-60%"/>
    <m/>
  </r>
  <r>
    <n v="10157"/>
    <d v="2026-01-02T00:00:00"/>
    <x v="3"/>
    <s v="Kenneth Ferguson"/>
    <x v="145"/>
    <x v="156"/>
    <x v="50"/>
    <n v="66"/>
    <n v="287"/>
    <n v="0.2"/>
    <x v="0"/>
    <s v="Cole"/>
    <n v="15153.6"/>
    <x v="3"/>
    <s v="0-20%"/>
    <m/>
  </r>
  <r>
    <n v="10158"/>
    <d v="2026-12-17T00:00:00"/>
    <x v="9"/>
    <s v="Athena Rose"/>
    <x v="146"/>
    <x v="157"/>
    <x v="54"/>
    <n v="67"/>
    <n v="846"/>
    <n v="0.37"/>
    <x v="1"/>
    <s v="Blake"/>
    <n v="35709.660000000003"/>
    <x v="9"/>
    <s v="20%-40%"/>
    <m/>
  </r>
  <r>
    <n v="10159"/>
    <d v="2026-07-17T00:00:00"/>
    <x v="10"/>
    <s v="Paul Rose"/>
    <x v="147"/>
    <x v="158"/>
    <x v="54"/>
    <n v="50"/>
    <n v="1949"/>
    <n v="0.35"/>
    <x v="3"/>
    <s v="Chase"/>
    <n v="63342.5"/>
    <x v="10"/>
    <s v="20%-40%"/>
    <m/>
  </r>
  <r>
    <n v="10160"/>
    <d v="2026-06-13T00:00:00"/>
    <x v="1"/>
    <s v="Iris Stone"/>
    <x v="148"/>
    <x v="159"/>
    <x v="54"/>
    <n v="1"/>
    <n v="1135"/>
    <n v="0.16"/>
    <x v="4"/>
    <s v="Max"/>
    <n v="953.4"/>
    <x v="1"/>
    <s v="0-20%"/>
    <m/>
  </r>
  <r>
    <n v="10161"/>
    <d v="2026-10-03T00:00:00"/>
    <x v="8"/>
    <s v="Raymond Hawkins"/>
    <x v="149"/>
    <x v="160"/>
    <x v="55"/>
    <n v="41"/>
    <n v="1261"/>
    <n v="0.41"/>
    <x v="1"/>
    <s v="Logan"/>
    <n v="30503.59"/>
    <x v="8"/>
    <s v="40%-60%"/>
    <m/>
  </r>
  <r>
    <n v="10162"/>
    <d v="2026-04-18T00:00:00"/>
    <x v="4"/>
    <s v="Sophie Dunn"/>
    <x v="150"/>
    <x v="161"/>
    <x v="55"/>
    <n v="1"/>
    <n v="438"/>
    <n v="0.37"/>
    <x v="2"/>
    <s v="Dylan"/>
    <n v="275.94"/>
    <x v="4"/>
    <s v="20%-40%"/>
    <m/>
  </r>
  <r>
    <n v="10163"/>
    <d v="2026-06-01T00:00:00"/>
    <x v="1"/>
    <s v="George Perkins"/>
    <x v="151"/>
    <x v="162"/>
    <x v="55"/>
    <n v="89"/>
    <n v="1984"/>
    <n v="0.22"/>
    <x v="3"/>
    <s v="Aiden"/>
    <n v="137729.28"/>
    <x v="1"/>
    <s v="20%-40%"/>
    <m/>
  </r>
  <r>
    <n v="10164"/>
    <d v="2026-06-20T00:00:00"/>
    <x v="1"/>
    <s v="Leah Hudson"/>
    <x v="152"/>
    <x v="163"/>
    <x v="55"/>
    <n v="95"/>
    <n v="1926"/>
    <n v="0.38"/>
    <x v="2"/>
    <s v="Carter"/>
    <n v="113441.4"/>
    <x v="1"/>
    <s v="20%-40%"/>
    <m/>
  </r>
  <r>
    <n v="10165"/>
    <d v="2026-10-23T00:00:00"/>
    <x v="8"/>
    <s v="Edward Spencer"/>
    <x v="153"/>
    <x v="164"/>
    <x v="55"/>
    <n v="79"/>
    <n v="1254"/>
    <n v="0.48"/>
    <x v="4"/>
    <s v="Grayson"/>
    <n v="51514.32"/>
    <x v="8"/>
    <s v="40%-60%"/>
    <m/>
  </r>
  <r>
    <n v="10166"/>
    <d v="2026-10-17T00:00:00"/>
    <x v="8"/>
    <s v="Madelyn Gardner"/>
    <x v="154"/>
    <x v="165"/>
    <x v="55"/>
    <n v="69"/>
    <n v="768"/>
    <n v="0.44"/>
    <x v="3"/>
    <s v="Wyatt"/>
    <n v="29675.52"/>
    <x v="8"/>
    <s v="40%-60%"/>
    <m/>
  </r>
  <r>
    <n v="10167"/>
    <d v="2026-02-25T00:00:00"/>
    <x v="11"/>
    <s v="Frank Stephens"/>
    <x v="155"/>
    <x v="166"/>
    <x v="56"/>
    <n v="63"/>
    <n v="1318"/>
    <n v="0.17"/>
    <x v="2"/>
    <s v="Easton"/>
    <n v="68918.22"/>
    <x v="11"/>
    <s v="0-20%"/>
    <m/>
  </r>
  <r>
    <n v="10168"/>
    <d v="2026-04-23T00:00:00"/>
    <x v="4"/>
    <s v="Vivian Payne"/>
    <x v="156"/>
    <x v="167"/>
    <x v="56"/>
    <n v="74"/>
    <n v="401"/>
    <n v="0.31"/>
    <x v="1"/>
    <s v="Cooper"/>
    <n v="20475.060000000001"/>
    <x v="4"/>
    <s v="20%-40%"/>
    <m/>
  </r>
  <r>
    <n v="10169"/>
    <d v="2026-11-25T00:00:00"/>
    <x v="7"/>
    <s v="Dennis Pierce"/>
    <x v="157"/>
    <x v="168"/>
    <x v="56"/>
    <n v="35"/>
    <n v="844"/>
    <n v="0.32"/>
    <x v="2"/>
    <s v="Parker"/>
    <n v="20087.2"/>
    <x v="7"/>
    <s v="20%-40%"/>
    <m/>
  </r>
  <r>
    <n v="10170"/>
    <d v="2026-12-03T00:00:00"/>
    <x v="9"/>
    <s v="Anna Berry"/>
    <x v="158"/>
    <x v="169"/>
    <x v="57"/>
    <n v="6"/>
    <n v="1922"/>
    <n v="0.39"/>
    <x v="0"/>
    <s v="Sawyer"/>
    <n v="7034.52"/>
    <x v="9"/>
    <s v="20%-40%"/>
    <m/>
  </r>
  <r>
    <n v="10171"/>
    <d v="2026-04-11T00:00:00"/>
    <x v="4"/>
    <s v="Jerry Matthews"/>
    <x v="159"/>
    <x v="170"/>
    <x v="57"/>
    <n v="33"/>
    <n v="1600"/>
    <n v="0.46"/>
    <x v="2"/>
    <s v="Rowan"/>
    <n v="28512"/>
    <x v="4"/>
    <s v="40%-60%"/>
    <m/>
  </r>
  <r>
    <n v="10172"/>
    <d v="2026-09-05T00:00:00"/>
    <x v="5"/>
    <s v="Willow Arnold"/>
    <x v="160"/>
    <x v="171"/>
    <x v="58"/>
    <n v="38"/>
    <n v="932"/>
    <n v="0.4"/>
    <x v="1"/>
    <s v="River"/>
    <n v="21249.599999999999"/>
    <x v="5"/>
    <s v="20%-40%"/>
    <m/>
  </r>
  <r>
    <n v="10173"/>
    <d v="2026-11-17T00:00:00"/>
    <x v="7"/>
    <s v="Aaron Wagner"/>
    <x v="161"/>
    <x v="172"/>
    <x v="58"/>
    <n v="7"/>
    <n v="537"/>
    <n v="0.36"/>
    <x v="2"/>
    <s v="Phoenix"/>
    <n v="2405.7600000000002"/>
    <x v="7"/>
    <s v="20%-40%"/>
    <m/>
  </r>
  <r>
    <n v="10174"/>
    <d v="2026-12-25T00:00:00"/>
    <x v="9"/>
    <s v="Elena Willis"/>
    <x v="162"/>
    <x v="173"/>
    <x v="58"/>
    <n v="33"/>
    <n v="1781"/>
    <n v="0.35"/>
    <x v="4"/>
    <s v="Jordan"/>
    <n v="38202.449999999997"/>
    <x v="9"/>
    <s v="20%-40%"/>
    <m/>
  </r>
  <r>
    <n v="10175"/>
    <d v="2026-11-10T00:00:00"/>
    <x v="7"/>
    <s v="Peter Ray"/>
    <x v="163"/>
    <x v="174"/>
    <x v="58"/>
    <n v="56"/>
    <n v="1064"/>
    <n v="0.22"/>
    <x v="0"/>
    <s v="Riley"/>
    <n v="46475.519999999997"/>
    <x v="7"/>
    <s v="20%-40%"/>
    <m/>
  </r>
  <r>
    <n v="10176"/>
    <d v="2026-12-15T00:00:00"/>
    <x v="9"/>
    <s v="Sarah Watkins"/>
    <x v="164"/>
    <x v="175"/>
    <x v="59"/>
    <n v="21"/>
    <n v="1816"/>
    <n v="0.36"/>
    <x v="2"/>
    <s v="Taylor"/>
    <n v="24407.040000000001"/>
    <x v="9"/>
    <s v="20%-40%"/>
    <m/>
  </r>
  <r>
    <n v="10177"/>
    <d v="2026-09-27T00:00:00"/>
    <x v="5"/>
    <s v="Kyle Olson"/>
    <x v="165"/>
    <x v="176"/>
    <x v="59"/>
    <n v="79"/>
    <n v="1817"/>
    <n v="0.27"/>
    <x v="3"/>
    <s v="Morgan"/>
    <n v="104786.39"/>
    <x v="5"/>
    <s v="20%-40%"/>
    <m/>
  </r>
  <r>
    <n v="10178"/>
    <d v="2026-10-27T00:00:00"/>
    <x v="8"/>
    <s v="Naomi Carroll"/>
    <x v="166"/>
    <x v="177"/>
    <x v="60"/>
    <n v="42"/>
    <n v="1997"/>
    <n v="0.33"/>
    <x v="4"/>
    <s v="Quinn"/>
    <n v="56195.579999999987"/>
    <x v="8"/>
    <s v="20%-40%"/>
    <m/>
  </r>
  <r>
    <n v="10179"/>
    <d v="2026-01-04T00:00:00"/>
    <x v="3"/>
    <s v="Brian Duncan"/>
    <x v="167"/>
    <x v="178"/>
    <x v="61"/>
    <n v="73"/>
    <n v="951"/>
    <n v="0.49"/>
    <x v="0"/>
    <s v="Reese"/>
    <n v="35405.730000000003"/>
    <x v="3"/>
    <s v="40%-60%"/>
    <m/>
  </r>
  <r>
    <n v="10180"/>
    <d v="2026-03-21T00:00:00"/>
    <x v="2"/>
    <s v="Rebecca Snyder"/>
    <x v="168"/>
    <x v="179"/>
    <x v="62"/>
    <n v="5"/>
    <n v="1560"/>
    <n v="0.33"/>
    <x v="1"/>
    <s v="Charlie"/>
    <n v="5225.9999999999991"/>
    <x v="2"/>
    <s v="20%-40%"/>
    <m/>
  </r>
  <r>
    <n v="10181"/>
    <d v="2026-10-03T00:00:00"/>
    <x v="8"/>
    <s v="Sean Hart"/>
    <x v="169"/>
    <x v="180"/>
    <x v="63"/>
    <n v="66"/>
    <n v="1215"/>
    <n v="0.4"/>
    <x v="0"/>
    <s v="Finley"/>
    <n v="48114"/>
    <x v="8"/>
    <s v="20%-40%"/>
    <m/>
  </r>
  <r>
    <n v="10182"/>
    <d v="2026-07-06T00:00:00"/>
    <x v="10"/>
    <s v="Clara Cunningham"/>
    <x v="170"/>
    <x v="181"/>
    <x v="64"/>
    <n v="62"/>
    <n v="1977"/>
    <n v="0.38"/>
    <x v="3"/>
    <s v="Hayden"/>
    <n v="75995.88"/>
    <x v="10"/>
    <s v="20%-40%"/>
    <m/>
  </r>
  <r>
    <n v="10183"/>
    <d v="2026-01-17T00:00:00"/>
    <x v="3"/>
    <s v="Derek Bradley"/>
    <x v="171"/>
    <x v="182"/>
    <x v="63"/>
    <n v="39"/>
    <n v="450"/>
    <n v="0.3"/>
    <x v="4"/>
    <s v="Emerson"/>
    <n v="12285"/>
    <x v="3"/>
    <s v="20%-40%"/>
    <m/>
  </r>
  <r>
    <n v="10184"/>
    <d v="2026-09-22T00:00:00"/>
    <x v="5"/>
    <s v="Lydia Lane"/>
    <x v="172"/>
    <x v="183"/>
    <x v="63"/>
    <n v="43"/>
    <n v="1804"/>
    <n v="0.18"/>
    <x v="1"/>
    <s v="Dakota"/>
    <n v="63609.040000000008"/>
    <x v="5"/>
    <s v="0-20%"/>
    <m/>
  </r>
  <r>
    <n v="10185"/>
    <d v="2026-10-27T00:00:00"/>
    <x v="8"/>
    <s v="Jason Andrews"/>
    <x v="173"/>
    <x v="184"/>
    <x v="63"/>
    <n v="24"/>
    <n v="542"/>
    <n v="0.46"/>
    <x v="1"/>
    <s v="Marley"/>
    <n v="7024.3200000000006"/>
    <x v="8"/>
    <s v="40%-60%"/>
    <m/>
  </r>
  <r>
    <n v="10186"/>
    <d v="2026-06-09T00:00:00"/>
    <x v="1"/>
    <s v="Isabelle Ruiz"/>
    <x v="174"/>
    <x v="185"/>
    <x v="63"/>
    <n v="33"/>
    <n v="175"/>
    <n v="0.33"/>
    <x v="0"/>
    <s v="Sydney"/>
    <n v="3869.25"/>
    <x v="1"/>
    <s v="20%-40%"/>
    <m/>
  </r>
  <r>
    <n v="10187"/>
    <d v="2026-11-13T00:00:00"/>
    <x v="7"/>
    <s v="Marcus Harper"/>
    <x v="175"/>
    <x v="186"/>
    <x v="65"/>
    <n v="74"/>
    <n v="1237"/>
    <n v="0.28999999999999998"/>
    <x v="3"/>
    <s v="Casey"/>
    <n v="64991.98"/>
    <x v="7"/>
    <s v="20%-40%"/>
    <m/>
  </r>
  <r>
    <n v="10188"/>
    <d v="2026-10-04T00:00:00"/>
    <x v="8"/>
    <s v="Eva Fox"/>
    <x v="176"/>
    <x v="187"/>
    <x v="65"/>
    <n v="73"/>
    <n v="317"/>
    <n v="0.28000000000000003"/>
    <x v="4"/>
    <s v="Alex"/>
    <n v="16661.52"/>
    <x v="8"/>
    <s v="20%-40%"/>
    <m/>
  </r>
  <r>
    <n v="10189"/>
    <d v="2026-01-10T00:00:00"/>
    <x v="3"/>
    <s v="Steven Riley"/>
    <x v="177"/>
    <x v="188"/>
    <x v="65"/>
    <n v="39"/>
    <n v="1171"/>
    <n v="0.3"/>
    <x v="3"/>
    <s v="Jamie"/>
    <n v="31968.3"/>
    <x v="3"/>
    <s v="20%-40%"/>
    <m/>
  </r>
  <r>
    <n v="10190"/>
    <d v="2026-10-10T00:00:00"/>
    <x v="8"/>
    <s v="Molly Armstrong"/>
    <x v="178"/>
    <x v="189"/>
    <x v="66"/>
    <n v="4"/>
    <n v="961"/>
    <n v="0.23"/>
    <x v="1"/>
    <s v="Jesse"/>
    <n v="2959.88"/>
    <x v="8"/>
    <s v="20%-40%"/>
    <m/>
  </r>
  <r>
    <n v="10191"/>
    <d v="2026-09-03T00:00:00"/>
    <x v="5"/>
    <s v="Jordan Carpenter"/>
    <x v="179"/>
    <x v="190"/>
    <x v="66"/>
    <n v="95"/>
    <n v="1360"/>
    <n v="0.15"/>
    <x v="4"/>
    <s v="Robin"/>
    <n v="109820"/>
    <x v="5"/>
    <s v="0-20%"/>
    <m/>
  </r>
  <r>
    <n v="10192"/>
    <d v="2026-11-09T00:00:00"/>
    <x v="7"/>
    <s v="Amy Weaver"/>
    <x v="180"/>
    <x v="191"/>
    <x v="66"/>
    <n v="93"/>
    <n v="391"/>
    <n v="0.32"/>
    <x v="4"/>
    <s v="Sage"/>
    <n v="24726.84"/>
    <x v="7"/>
    <s v="20%-40%"/>
    <m/>
  </r>
  <r>
    <n v="10193"/>
    <d v="2026-10-13T00:00:00"/>
    <x v="8"/>
    <s v="Kevin Greene"/>
    <x v="181"/>
    <x v="192"/>
    <x v="66"/>
    <n v="53"/>
    <n v="1207"/>
    <n v="0.45"/>
    <x v="4"/>
    <s v="Lennon"/>
    <n v="35184.050000000003"/>
    <x v="8"/>
    <s v="40%-60%"/>
    <m/>
  </r>
  <r>
    <n v="10194"/>
    <d v="2026-05-09T00:00:00"/>
    <x v="0"/>
    <s v="Rose Lawrence"/>
    <x v="182"/>
    <x v="193"/>
    <x v="66"/>
    <n v="95"/>
    <n v="1330"/>
    <n v="0.34"/>
    <x v="2"/>
    <s v="Shiloh"/>
    <n v="83390.999999999985"/>
    <x v="0"/>
    <s v="20%-40%"/>
    <m/>
  </r>
  <r>
    <n v="10195"/>
    <d v="2026-12-21T00:00:00"/>
    <x v="9"/>
    <s v="Alex Elliott"/>
    <x v="183"/>
    <x v="194"/>
    <x v="66"/>
    <n v="26"/>
    <n v="488"/>
    <n v="0.48"/>
    <x v="3"/>
    <s v="Remy"/>
    <n v="6597.76"/>
    <x v="9"/>
    <s v="40%-60%"/>
    <m/>
  </r>
  <r>
    <n v="10196"/>
    <d v="2026-04-10T00:00:00"/>
    <x v="4"/>
    <s v="Lucy Chapman"/>
    <x v="184"/>
    <x v="195"/>
    <x v="2"/>
    <n v="3"/>
    <n v="265"/>
    <n v="0.46"/>
    <x v="3"/>
    <s v="Frankie"/>
    <n v="429.3"/>
    <x v="4"/>
    <s v="40%-60%"/>
    <m/>
  </r>
  <r>
    <n v="10197"/>
    <d v="2026-06-07T00:00:00"/>
    <x v="1"/>
    <s v="Daniel Hudson"/>
    <x v="185"/>
    <x v="196"/>
    <x v="67"/>
    <n v="80"/>
    <n v="1255"/>
    <n v="0.31"/>
    <x v="0"/>
    <s v="Stevie"/>
    <n v="69276"/>
    <x v="1"/>
    <s v="20%-40%"/>
    <m/>
  </r>
  <r>
    <n v="10198"/>
    <d v="2026-01-24T00:00:00"/>
    <x v="3"/>
    <s v="Sophie Owens"/>
    <x v="186"/>
    <x v="197"/>
    <x v="67"/>
    <n v="25"/>
    <n v="270"/>
    <n v="0.26"/>
    <x v="2"/>
    <s v="Blair"/>
    <n v="4995"/>
    <x v="3"/>
    <s v="20%-40%"/>
    <m/>
  </r>
  <r>
    <n v="10199"/>
    <d v="2026-10-24T00:00:00"/>
    <x v="8"/>
    <s v="Matthew Johnston"/>
    <x v="187"/>
    <x v="131"/>
    <x v="67"/>
    <n v="85"/>
    <n v="1298"/>
    <n v="0.42"/>
    <x v="4"/>
    <s v="Aspen"/>
    <n v="63991.400000000009"/>
    <x v="8"/>
    <s v="40%-60%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8EDCD-9313-48D2-B5BF-02039B39414D}" name="PivotTable8" cacheId="37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">
  <location ref="O6:P17" firstHeaderRow="1" firstDataRow="1" firstDataCol="1"/>
  <pivotFields count="16">
    <pivotField compact="0" outline="0" showAll="0"/>
    <pivotField compact="0" numFmtId="165" outline="0" showAll="0"/>
    <pivotField compact="0" outline="0" showAll="0">
      <items count="13">
        <item x="3"/>
        <item x="11"/>
        <item x="2"/>
        <item x="4"/>
        <item x="0"/>
        <item x="1"/>
        <item x="10"/>
        <item x="6"/>
        <item x="5"/>
        <item x="8"/>
        <item x="7"/>
        <item x="9"/>
        <item t="default"/>
      </items>
    </pivotField>
    <pivotField compact="0" outline="0" showAll="0"/>
    <pivotField compact="0" outline="0" showAll="0">
      <items count="189">
        <item x="187"/>
        <item x="7"/>
        <item x="79"/>
        <item x="180"/>
        <item x="78"/>
        <item x="65"/>
        <item x="161"/>
        <item x="17"/>
        <item x="172"/>
        <item x="69"/>
        <item x="171"/>
        <item x="80"/>
        <item x="150"/>
        <item x="158"/>
        <item x="111"/>
        <item x="19"/>
        <item x="8"/>
        <item x="30"/>
        <item x="106"/>
        <item x="92"/>
        <item x="174"/>
        <item x="11"/>
        <item x="6"/>
        <item x="22"/>
        <item x="87"/>
        <item x="163"/>
        <item x="179"/>
        <item x="0"/>
        <item x="70"/>
        <item x="151"/>
        <item x="63"/>
        <item x="105"/>
        <item x="184"/>
        <item x="75"/>
        <item x="16"/>
        <item x="162"/>
        <item x="108"/>
        <item x="81"/>
        <item x="124"/>
        <item x="126"/>
        <item x="164"/>
        <item x="36"/>
        <item x="82"/>
        <item x="173"/>
        <item x="170"/>
        <item x="96"/>
        <item x="178"/>
        <item x="24"/>
        <item x="2"/>
        <item x="45"/>
        <item x="138"/>
        <item x="62"/>
        <item x="18"/>
        <item x="131"/>
        <item x="175"/>
        <item x="46"/>
        <item x="31"/>
        <item x="181"/>
        <item x="37"/>
        <item x="133"/>
        <item x="114"/>
        <item x="132"/>
        <item x="56"/>
        <item x="10"/>
        <item x="121"/>
        <item x="140"/>
        <item x="139"/>
        <item x="20"/>
        <item x="142"/>
        <item x="97"/>
        <item x="130"/>
        <item x="137"/>
        <item x="61"/>
        <item x="125"/>
        <item x="123"/>
        <item x="118"/>
        <item x="38"/>
        <item x="116"/>
        <item x="112"/>
        <item x="101"/>
        <item x="177"/>
        <item x="128"/>
        <item x="186"/>
        <item x="57"/>
        <item x="68"/>
        <item x="89"/>
        <item x="169"/>
        <item x="76"/>
        <item x="66"/>
        <item x="13"/>
        <item x="39"/>
        <item x="102"/>
        <item x="72"/>
        <item x="115"/>
        <item x="107"/>
        <item x="185"/>
        <item x="88"/>
        <item x="165"/>
        <item x="157"/>
        <item x="86"/>
        <item x="183"/>
        <item x="93"/>
        <item x="74"/>
        <item x="182"/>
        <item x="144"/>
        <item x="3"/>
        <item x="55"/>
        <item x="21"/>
        <item x="77"/>
        <item x="47"/>
        <item x="59"/>
        <item x="149"/>
        <item x="64"/>
        <item x="4"/>
        <item x="52"/>
        <item x="152"/>
        <item x="159"/>
        <item x="166"/>
        <item x="103"/>
        <item x="160"/>
        <item x="67"/>
        <item x="58"/>
        <item x="91"/>
        <item x="94"/>
        <item x="23"/>
        <item x="109"/>
        <item x="5"/>
        <item x="146"/>
        <item x="113"/>
        <item x="156"/>
        <item x="27"/>
        <item x="167"/>
        <item x="155"/>
        <item x="71"/>
        <item x="9"/>
        <item x="33"/>
        <item x="129"/>
        <item x="127"/>
        <item x="134"/>
        <item x="14"/>
        <item x="90"/>
        <item x="110"/>
        <item x="49"/>
        <item x="98"/>
        <item x="147"/>
        <item x="95"/>
        <item x="48"/>
        <item x="28"/>
        <item x="100"/>
        <item x="117"/>
        <item x="148"/>
        <item x="1"/>
        <item x="83"/>
        <item x="40"/>
        <item x="122"/>
        <item x="84"/>
        <item x="54"/>
        <item x="12"/>
        <item x="26"/>
        <item x="51"/>
        <item x="43"/>
        <item x="120"/>
        <item x="73"/>
        <item x="168"/>
        <item x="50"/>
        <item x="32"/>
        <item x="15"/>
        <item x="53"/>
        <item x="145"/>
        <item x="99"/>
        <item x="153"/>
        <item x="34"/>
        <item x="85"/>
        <item x="25"/>
        <item x="42"/>
        <item x="154"/>
        <item x="119"/>
        <item x="104"/>
        <item x="143"/>
        <item x="176"/>
        <item x="41"/>
        <item x="141"/>
        <item x="35"/>
        <item x="135"/>
        <item x="60"/>
        <item x="44"/>
        <item x="136"/>
        <item x="29"/>
        <item t="default"/>
      </items>
    </pivotField>
    <pivotField axis="axisRow" compact="0" outline="0" showAll="0" measureFilter="1">
      <items count="199">
        <item x="18"/>
        <item x="49"/>
        <item x="57"/>
        <item x="48"/>
        <item x="91"/>
        <item x="76"/>
        <item x="131"/>
        <item x="164"/>
        <item x="68"/>
        <item x="182"/>
        <item x="126"/>
        <item x="161"/>
        <item x="127"/>
        <item x="145"/>
        <item x="84"/>
        <item x="88"/>
        <item x="128"/>
        <item x="175"/>
        <item x="176"/>
        <item x="87"/>
        <item x="111"/>
        <item x="52"/>
        <item x="12"/>
        <item x="154"/>
        <item x="82"/>
        <item x="121"/>
        <item x="61"/>
        <item x="138"/>
        <item x="189"/>
        <item x="174"/>
        <item x="171"/>
        <item x="98"/>
        <item x="46"/>
        <item x="108"/>
        <item x="51"/>
        <item x="63"/>
        <item x="77"/>
        <item x="186"/>
        <item x="149"/>
        <item x="67"/>
        <item x="90"/>
        <item x="64"/>
        <item x="69"/>
        <item x="156"/>
        <item x="81"/>
        <item x="193"/>
        <item x="3"/>
        <item x="17"/>
        <item x="79"/>
        <item x="78"/>
        <item x="60"/>
        <item x="44"/>
        <item x="109"/>
        <item x="124"/>
        <item x="62"/>
        <item x="167"/>
        <item x="89"/>
        <item x="11"/>
        <item x="139"/>
        <item x="50"/>
        <item x="43"/>
        <item x="144"/>
        <item x="147"/>
        <item x="169"/>
        <item x="27"/>
        <item x="150"/>
        <item x="192"/>
        <item x="178"/>
        <item x="16"/>
        <item x="92"/>
        <item x="55"/>
        <item x="72"/>
        <item x="160"/>
        <item x="183"/>
        <item x="41"/>
        <item x="65"/>
        <item x="23"/>
        <item x="26"/>
        <item x="24"/>
        <item x="25"/>
        <item x="196"/>
        <item x="179"/>
        <item x="143"/>
        <item x="141"/>
        <item x="148"/>
        <item x="142"/>
        <item x="130"/>
        <item x="33"/>
        <item x="10"/>
        <item x="173"/>
        <item x="105"/>
        <item x="107"/>
        <item x="102"/>
        <item x="59"/>
        <item x="5"/>
        <item x="70"/>
        <item x="0"/>
        <item x="115"/>
        <item x="153"/>
        <item x="159"/>
        <item x="74"/>
        <item x="157"/>
        <item x="185"/>
        <item x="158"/>
        <item x="85"/>
        <item x="71"/>
        <item x="14"/>
        <item x="42"/>
        <item x="95"/>
        <item x="151"/>
        <item x="4"/>
        <item x="6"/>
        <item x="137"/>
        <item x="180"/>
        <item x="181"/>
        <item x="80"/>
        <item x="187"/>
        <item x="191"/>
        <item x="184"/>
        <item x="155"/>
        <item x="96"/>
        <item x="86"/>
        <item x="29"/>
        <item x="35"/>
        <item x="8"/>
        <item x="195"/>
        <item x="21"/>
        <item x="99"/>
        <item x="40"/>
        <item x="168"/>
        <item x="54"/>
        <item x="140"/>
        <item x="125"/>
        <item x="122"/>
        <item x="66"/>
        <item x="9"/>
        <item x="119"/>
        <item x="197"/>
        <item x="31"/>
        <item x="39"/>
        <item x="101"/>
        <item x="104"/>
        <item x="165"/>
        <item x="177"/>
        <item x="188"/>
        <item x="110"/>
        <item x="172"/>
        <item x="123"/>
        <item x="58"/>
        <item x="36"/>
        <item x="38"/>
        <item x="37"/>
        <item x="1"/>
        <item x="30"/>
        <item x="15"/>
        <item x="120"/>
        <item x="117"/>
        <item x="75"/>
        <item x="13"/>
        <item x="114"/>
        <item x="56"/>
        <item x="190"/>
        <item x="22"/>
        <item x="112"/>
        <item x="132"/>
        <item x="135"/>
        <item x="152"/>
        <item x="106"/>
        <item x="116"/>
        <item x="93"/>
        <item x="2"/>
        <item x="20"/>
        <item x="163"/>
        <item x="162"/>
        <item x="53"/>
        <item x="146"/>
        <item x="113"/>
        <item x="133"/>
        <item x="170"/>
        <item x="19"/>
        <item x="103"/>
        <item x="100"/>
        <item x="134"/>
        <item x="118"/>
        <item x="28"/>
        <item x="34"/>
        <item x="47"/>
        <item x="97"/>
        <item x="94"/>
        <item x="129"/>
        <item x="83"/>
        <item x="45"/>
        <item x="73"/>
        <item x="7"/>
        <item x="194"/>
        <item x="32"/>
        <item x="136"/>
        <item x="166"/>
        <item t="default"/>
      </items>
    </pivotField>
    <pivotField compact="0" outline="0" showAll="0">
      <items count="69">
        <item x="41"/>
        <item x="16"/>
        <item x="65"/>
        <item x="4"/>
        <item x="43"/>
        <item x="23"/>
        <item x="48"/>
        <item x="32"/>
        <item x="31"/>
        <item x="12"/>
        <item x="7"/>
        <item x="6"/>
        <item x="19"/>
        <item x="36"/>
        <item x="1"/>
        <item x="22"/>
        <item x="59"/>
        <item x="26"/>
        <item x="13"/>
        <item x="0"/>
        <item x="45"/>
        <item x="61"/>
        <item x="56"/>
        <item x="57"/>
        <item x="27"/>
        <item x="42"/>
        <item x="38"/>
        <item x="53"/>
        <item x="28"/>
        <item x="9"/>
        <item x="10"/>
        <item x="62"/>
        <item x="49"/>
        <item x="51"/>
        <item x="20"/>
        <item x="33"/>
        <item x="8"/>
        <item x="35"/>
        <item x="15"/>
        <item x="47"/>
        <item x="21"/>
        <item x="17"/>
        <item x="25"/>
        <item x="24"/>
        <item x="18"/>
        <item x="34"/>
        <item x="54"/>
        <item x="11"/>
        <item x="64"/>
        <item x="3"/>
        <item x="29"/>
        <item x="66"/>
        <item x="58"/>
        <item x="60"/>
        <item x="37"/>
        <item x="50"/>
        <item x="67"/>
        <item x="52"/>
        <item x="14"/>
        <item x="55"/>
        <item x="39"/>
        <item x="63"/>
        <item x="30"/>
        <item x="40"/>
        <item x="44"/>
        <item x="2"/>
        <item x="46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7">
        <item h="1" x="2"/>
        <item h="1" x="3"/>
        <item x="1"/>
        <item h="1" x="0"/>
        <item h="1" x="4"/>
        <item h="1" x="5"/>
        <item t="default"/>
      </items>
    </pivotField>
    <pivotField compact="0" outline="0" showAll="0"/>
    <pivotField dataField="1" compact="0" outline="0" showAll="0"/>
    <pivotField compact="0" outline="0" showAll="0">
      <items count="13">
        <item x="3"/>
        <item x="11"/>
        <item x="2"/>
        <item x="4"/>
        <item x="0"/>
        <item x="1"/>
        <item x="10"/>
        <item x="6"/>
        <item x="5"/>
        <item x="8"/>
        <item x="7"/>
        <item x="9"/>
        <item t="default"/>
      </items>
    </pivotField>
    <pivotField compact="0" outline="0" showAll="0"/>
    <pivotField compact="0" outline="0" showAll="0"/>
  </pivotFields>
  <rowFields count="1">
    <field x="5"/>
  </rowFields>
  <rowItems count="11">
    <i>
      <x v="5"/>
    </i>
    <i>
      <x v="27"/>
    </i>
    <i>
      <x v="35"/>
    </i>
    <i>
      <x v="46"/>
    </i>
    <i>
      <x v="71"/>
    </i>
    <i>
      <x v="73"/>
    </i>
    <i>
      <x v="93"/>
    </i>
    <i>
      <x v="135"/>
    </i>
    <i>
      <x v="157"/>
    </i>
    <i>
      <x v="164"/>
    </i>
    <i t="grand">
      <x/>
    </i>
  </rowItems>
  <colItems count="1">
    <i/>
  </colItems>
  <dataFields count="1">
    <dataField name="Sum of Revenue" fld="1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49D811-EB38-4425-9588-2B714587A854}" name="PivotTable7" cacheId="37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">
  <location ref="L6:M34" firstHeaderRow="1" firstDataRow="1" firstDataCol="1"/>
  <pivotFields count="16">
    <pivotField compact="0" outline="0" showAll="0"/>
    <pivotField compact="0" numFmtId="165" outline="0" showAll="0"/>
    <pivotField compact="0" outline="0" showAll="0">
      <items count="13">
        <item x="3"/>
        <item x="11"/>
        <item x="2"/>
        <item x="4"/>
        <item x="0"/>
        <item x="1"/>
        <item x="10"/>
        <item x="6"/>
        <item x="5"/>
        <item x="8"/>
        <item x="7"/>
        <item x="9"/>
        <item t="default"/>
      </items>
    </pivotField>
    <pivotField compact="0" outline="0" showAll="0"/>
    <pivotField compact="0" outline="0" showAll="0">
      <items count="189">
        <item x="187"/>
        <item x="7"/>
        <item x="79"/>
        <item x="180"/>
        <item x="78"/>
        <item x="65"/>
        <item x="161"/>
        <item x="17"/>
        <item x="172"/>
        <item x="69"/>
        <item x="171"/>
        <item x="80"/>
        <item x="150"/>
        <item x="158"/>
        <item x="111"/>
        <item x="19"/>
        <item x="8"/>
        <item x="30"/>
        <item x="106"/>
        <item x="92"/>
        <item x="174"/>
        <item x="11"/>
        <item x="6"/>
        <item x="22"/>
        <item x="87"/>
        <item x="163"/>
        <item x="179"/>
        <item x="0"/>
        <item x="70"/>
        <item x="151"/>
        <item x="63"/>
        <item x="105"/>
        <item x="184"/>
        <item x="75"/>
        <item x="16"/>
        <item x="162"/>
        <item x="108"/>
        <item x="81"/>
        <item x="124"/>
        <item x="126"/>
        <item x="164"/>
        <item x="36"/>
        <item x="82"/>
        <item x="173"/>
        <item x="170"/>
        <item x="96"/>
        <item x="178"/>
        <item x="24"/>
        <item x="2"/>
        <item x="45"/>
        <item x="138"/>
        <item x="62"/>
        <item x="18"/>
        <item x="131"/>
        <item x="175"/>
        <item x="46"/>
        <item x="31"/>
        <item x="181"/>
        <item x="37"/>
        <item x="133"/>
        <item x="114"/>
        <item x="132"/>
        <item x="56"/>
        <item x="10"/>
        <item x="121"/>
        <item x="140"/>
        <item x="139"/>
        <item x="20"/>
        <item x="142"/>
        <item x="97"/>
        <item x="130"/>
        <item x="137"/>
        <item x="61"/>
        <item x="125"/>
        <item x="123"/>
        <item x="118"/>
        <item x="38"/>
        <item x="116"/>
        <item x="112"/>
        <item x="101"/>
        <item x="177"/>
        <item x="128"/>
        <item x="186"/>
        <item x="57"/>
        <item x="68"/>
        <item x="89"/>
        <item x="169"/>
        <item x="76"/>
        <item x="66"/>
        <item x="13"/>
        <item x="39"/>
        <item x="102"/>
        <item x="72"/>
        <item x="115"/>
        <item x="107"/>
        <item x="185"/>
        <item x="88"/>
        <item x="165"/>
        <item x="157"/>
        <item x="86"/>
        <item x="183"/>
        <item x="93"/>
        <item x="74"/>
        <item x="182"/>
        <item x="144"/>
        <item x="3"/>
        <item x="55"/>
        <item x="21"/>
        <item x="77"/>
        <item x="47"/>
        <item x="59"/>
        <item x="149"/>
        <item x="64"/>
        <item x="4"/>
        <item x="52"/>
        <item x="152"/>
        <item x="159"/>
        <item x="166"/>
        <item x="103"/>
        <item x="160"/>
        <item x="67"/>
        <item x="58"/>
        <item x="91"/>
        <item x="94"/>
        <item x="23"/>
        <item x="109"/>
        <item x="5"/>
        <item x="146"/>
        <item x="113"/>
        <item x="156"/>
        <item x="27"/>
        <item x="167"/>
        <item x="155"/>
        <item x="71"/>
        <item x="9"/>
        <item x="33"/>
        <item x="129"/>
        <item x="127"/>
        <item x="134"/>
        <item x="14"/>
        <item x="90"/>
        <item x="110"/>
        <item x="49"/>
        <item x="98"/>
        <item x="147"/>
        <item x="95"/>
        <item x="48"/>
        <item x="28"/>
        <item x="100"/>
        <item x="117"/>
        <item x="148"/>
        <item x="1"/>
        <item x="83"/>
        <item x="40"/>
        <item x="122"/>
        <item x="84"/>
        <item x="54"/>
        <item x="12"/>
        <item x="26"/>
        <item x="51"/>
        <item x="43"/>
        <item x="120"/>
        <item x="73"/>
        <item x="168"/>
        <item x="50"/>
        <item x="32"/>
        <item x="15"/>
        <item x="53"/>
        <item x="145"/>
        <item x="99"/>
        <item x="153"/>
        <item x="34"/>
        <item x="85"/>
        <item x="25"/>
        <item x="42"/>
        <item x="154"/>
        <item x="119"/>
        <item x="104"/>
        <item x="143"/>
        <item x="176"/>
        <item x="41"/>
        <item x="141"/>
        <item x="35"/>
        <item x="135"/>
        <item x="60"/>
        <item x="44"/>
        <item x="136"/>
        <item x="29"/>
        <item t="default"/>
      </items>
    </pivotField>
    <pivotField compact="0" outline="0" showAll="0"/>
    <pivotField axis="axisRow" compact="0" outline="0" showAll="0" sortType="descending">
      <items count="69">
        <item x="41"/>
        <item x="16"/>
        <item x="65"/>
        <item x="4"/>
        <item x="43"/>
        <item x="23"/>
        <item x="48"/>
        <item x="32"/>
        <item x="31"/>
        <item x="12"/>
        <item x="7"/>
        <item x="6"/>
        <item x="19"/>
        <item x="36"/>
        <item x="1"/>
        <item x="22"/>
        <item x="59"/>
        <item x="26"/>
        <item x="13"/>
        <item x="0"/>
        <item x="45"/>
        <item x="61"/>
        <item x="56"/>
        <item x="57"/>
        <item x="27"/>
        <item x="42"/>
        <item x="38"/>
        <item x="53"/>
        <item x="28"/>
        <item x="9"/>
        <item x="10"/>
        <item x="62"/>
        <item x="49"/>
        <item x="51"/>
        <item x="20"/>
        <item x="33"/>
        <item x="8"/>
        <item x="35"/>
        <item x="15"/>
        <item x="47"/>
        <item x="21"/>
        <item x="17"/>
        <item x="25"/>
        <item x="24"/>
        <item x="18"/>
        <item x="34"/>
        <item x="54"/>
        <item x="11"/>
        <item x="64"/>
        <item x="3"/>
        <item x="29"/>
        <item x="66"/>
        <item x="58"/>
        <item x="60"/>
        <item x="37"/>
        <item x="50"/>
        <item x="67"/>
        <item x="52"/>
        <item x="14"/>
        <item x="55"/>
        <item x="39"/>
        <item x="63"/>
        <item x="30"/>
        <item x="40"/>
        <item x="44"/>
        <item x="2"/>
        <item x="4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>
      <items count="7">
        <item h="1" x="2"/>
        <item h="1" x="3"/>
        <item x="1"/>
        <item h="1" x="0"/>
        <item h="1" x="4"/>
        <item h="1" x="5"/>
        <item t="default"/>
      </items>
    </pivotField>
    <pivotField compact="0" outline="0" showAll="0"/>
    <pivotField dataField="1" compact="0" outline="0" showAll="0"/>
    <pivotField compact="0" outline="0" showAll="0">
      <items count="13">
        <item x="3"/>
        <item x="11"/>
        <item x="2"/>
        <item x="4"/>
        <item x="0"/>
        <item x="1"/>
        <item x="10"/>
        <item x="6"/>
        <item x="5"/>
        <item x="8"/>
        <item x="7"/>
        <item x="9"/>
        <item t="default"/>
      </items>
    </pivotField>
    <pivotField compact="0" outline="0" showAll="0"/>
    <pivotField compact="0" outline="0" showAll="0"/>
  </pivotFields>
  <rowFields count="1">
    <field x="6"/>
  </rowFields>
  <rowItems count="28">
    <i>
      <x v="19"/>
    </i>
    <i>
      <x v="28"/>
    </i>
    <i>
      <x v="42"/>
    </i>
    <i>
      <x v="49"/>
    </i>
    <i>
      <x v="41"/>
    </i>
    <i>
      <x v="64"/>
    </i>
    <i>
      <x v="61"/>
    </i>
    <i>
      <x v="39"/>
    </i>
    <i>
      <x v="40"/>
    </i>
    <i>
      <x v="46"/>
    </i>
    <i>
      <x v="25"/>
    </i>
    <i>
      <x v="59"/>
    </i>
    <i>
      <x v="52"/>
    </i>
    <i>
      <x v="22"/>
    </i>
    <i>
      <x v="65"/>
    </i>
    <i>
      <x v="67"/>
    </i>
    <i>
      <x v="43"/>
    </i>
    <i>
      <x v="36"/>
    </i>
    <i>
      <x v="29"/>
    </i>
    <i>
      <x v="55"/>
    </i>
    <i>
      <x v="15"/>
    </i>
    <i>
      <x v="47"/>
    </i>
    <i>
      <x v="17"/>
    </i>
    <i>
      <x v="58"/>
    </i>
    <i>
      <x v="31"/>
    </i>
    <i>
      <x v="51"/>
    </i>
    <i>
      <x v="13"/>
    </i>
    <i t="grand">
      <x/>
    </i>
  </rowItems>
  <colItems count="1">
    <i/>
  </colItems>
  <dataFields count="1">
    <dataField name="Sum of Revenue" fld="12" showDataAs="percentOfTotal" baseField="0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0B510-DF56-444F-A8FF-393DFC9315D6}" name="PivotTable6" cacheId="37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">
  <location ref="G5:H16" firstHeaderRow="1" firstDataRow="1" firstDataCol="1"/>
  <pivotFields count="16">
    <pivotField compact="0" outline="0" showAll="0"/>
    <pivotField compact="0" numFmtId="165" outline="0" showAll="0"/>
    <pivotField compact="0" outline="0" showAll="0">
      <items count="13">
        <item x="3"/>
        <item x="11"/>
        <item x="2"/>
        <item x="4"/>
        <item x="0"/>
        <item x="1"/>
        <item x="10"/>
        <item x="6"/>
        <item x="5"/>
        <item x="8"/>
        <item x="7"/>
        <item x="9"/>
        <item t="default"/>
      </items>
    </pivotField>
    <pivotField compact="0" outline="0" showAll="0"/>
    <pivotField axis="axisRow" compact="0" outline="0" showAll="0" measureFilter="1" sortType="descending">
      <items count="189">
        <item x="29"/>
        <item x="136"/>
        <item x="44"/>
        <item x="60"/>
        <item x="135"/>
        <item x="35"/>
        <item x="141"/>
        <item x="41"/>
        <item x="176"/>
        <item x="143"/>
        <item x="104"/>
        <item x="119"/>
        <item x="154"/>
        <item x="42"/>
        <item x="25"/>
        <item x="85"/>
        <item x="34"/>
        <item x="153"/>
        <item x="99"/>
        <item x="145"/>
        <item x="53"/>
        <item x="15"/>
        <item x="32"/>
        <item x="50"/>
        <item x="168"/>
        <item x="73"/>
        <item x="120"/>
        <item x="43"/>
        <item x="51"/>
        <item x="26"/>
        <item x="12"/>
        <item x="54"/>
        <item x="84"/>
        <item x="122"/>
        <item x="40"/>
        <item x="83"/>
        <item x="1"/>
        <item x="148"/>
        <item x="117"/>
        <item x="100"/>
        <item x="28"/>
        <item x="48"/>
        <item x="95"/>
        <item x="147"/>
        <item x="98"/>
        <item x="49"/>
        <item x="110"/>
        <item x="90"/>
        <item x="14"/>
        <item x="134"/>
        <item x="127"/>
        <item x="129"/>
        <item x="33"/>
        <item x="9"/>
        <item x="71"/>
        <item x="155"/>
        <item x="167"/>
        <item x="27"/>
        <item x="156"/>
        <item x="113"/>
        <item x="146"/>
        <item x="5"/>
        <item x="109"/>
        <item x="23"/>
        <item x="94"/>
        <item x="91"/>
        <item x="58"/>
        <item x="67"/>
        <item x="160"/>
        <item x="103"/>
        <item x="166"/>
        <item x="159"/>
        <item x="152"/>
        <item x="52"/>
        <item x="4"/>
        <item x="64"/>
        <item x="149"/>
        <item x="59"/>
        <item x="47"/>
        <item x="77"/>
        <item x="21"/>
        <item x="55"/>
        <item x="3"/>
        <item x="144"/>
        <item x="182"/>
        <item x="74"/>
        <item x="93"/>
        <item x="183"/>
        <item x="86"/>
        <item x="157"/>
        <item x="165"/>
        <item x="88"/>
        <item x="185"/>
        <item x="107"/>
        <item x="115"/>
        <item x="72"/>
        <item x="102"/>
        <item x="39"/>
        <item x="13"/>
        <item x="66"/>
        <item x="76"/>
        <item x="169"/>
        <item x="89"/>
        <item x="68"/>
        <item x="57"/>
        <item x="186"/>
        <item x="128"/>
        <item x="177"/>
        <item x="101"/>
        <item x="112"/>
        <item x="116"/>
        <item x="38"/>
        <item x="118"/>
        <item x="123"/>
        <item x="125"/>
        <item x="61"/>
        <item x="137"/>
        <item x="130"/>
        <item x="97"/>
        <item x="142"/>
        <item x="20"/>
        <item x="139"/>
        <item x="140"/>
        <item x="121"/>
        <item x="10"/>
        <item x="56"/>
        <item x="132"/>
        <item x="114"/>
        <item x="133"/>
        <item x="37"/>
        <item x="181"/>
        <item x="31"/>
        <item x="46"/>
        <item x="175"/>
        <item x="131"/>
        <item x="18"/>
        <item x="62"/>
        <item x="138"/>
        <item x="45"/>
        <item x="2"/>
        <item x="24"/>
        <item x="178"/>
        <item x="96"/>
        <item x="170"/>
        <item x="173"/>
        <item x="82"/>
        <item x="36"/>
        <item x="164"/>
        <item x="126"/>
        <item x="124"/>
        <item x="81"/>
        <item x="108"/>
        <item x="162"/>
        <item x="16"/>
        <item x="75"/>
        <item x="184"/>
        <item x="105"/>
        <item x="63"/>
        <item x="151"/>
        <item x="70"/>
        <item x="0"/>
        <item x="179"/>
        <item x="163"/>
        <item x="87"/>
        <item x="22"/>
        <item x="6"/>
        <item x="11"/>
        <item x="174"/>
        <item x="92"/>
        <item x="106"/>
        <item x="30"/>
        <item x="8"/>
        <item x="19"/>
        <item x="111"/>
        <item x="158"/>
        <item x="150"/>
        <item x="80"/>
        <item x="171"/>
        <item x="69"/>
        <item x="172"/>
        <item x="17"/>
        <item x="161"/>
        <item x="65"/>
        <item x="78"/>
        <item x="180"/>
        <item x="79"/>
        <item x="7"/>
        <item x="18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69">
        <item x="41"/>
        <item x="16"/>
        <item x="65"/>
        <item x="4"/>
        <item x="43"/>
        <item x="23"/>
        <item x="48"/>
        <item x="32"/>
        <item x="31"/>
        <item x="12"/>
        <item x="7"/>
        <item x="6"/>
        <item x="19"/>
        <item x="36"/>
        <item x="1"/>
        <item x="22"/>
        <item x="59"/>
        <item x="26"/>
        <item x="13"/>
        <item x="0"/>
        <item x="45"/>
        <item x="61"/>
        <item x="56"/>
        <item x="57"/>
        <item x="27"/>
        <item x="42"/>
        <item x="38"/>
        <item x="53"/>
        <item x="28"/>
        <item x="9"/>
        <item x="10"/>
        <item x="62"/>
        <item x="49"/>
        <item x="51"/>
        <item x="20"/>
        <item x="33"/>
        <item x="8"/>
        <item x="35"/>
        <item x="15"/>
        <item x="47"/>
        <item x="21"/>
        <item x="17"/>
        <item x="25"/>
        <item x="24"/>
        <item x="18"/>
        <item x="34"/>
        <item x="54"/>
        <item x="11"/>
        <item x="64"/>
        <item x="3"/>
        <item x="29"/>
        <item x="66"/>
        <item x="58"/>
        <item x="60"/>
        <item x="37"/>
        <item x="50"/>
        <item x="67"/>
        <item x="52"/>
        <item x="14"/>
        <item x="55"/>
        <item x="39"/>
        <item x="63"/>
        <item x="30"/>
        <item x="40"/>
        <item x="44"/>
        <item x="2"/>
        <item x="46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7">
        <item h="1" x="2"/>
        <item h="1" x="3"/>
        <item x="1"/>
        <item h="1" x="0"/>
        <item h="1" x="4"/>
        <item h="1" x="5"/>
        <item t="default"/>
      </items>
    </pivotField>
    <pivotField compact="0" outline="0" showAll="0"/>
    <pivotField dataField="1" compact="0" outline="0" showAll="0"/>
    <pivotField compact="0" outline="0" showAll="0">
      <items count="13">
        <item x="3"/>
        <item x="11"/>
        <item x="2"/>
        <item x="4"/>
        <item x="0"/>
        <item x="1"/>
        <item x="10"/>
        <item x="6"/>
        <item x="5"/>
        <item x="8"/>
        <item x="7"/>
        <item x="9"/>
        <item t="default"/>
      </items>
    </pivotField>
    <pivotField compact="0" outline="0" showAll="0"/>
    <pivotField compact="0" outline="0" showAll="0"/>
  </pivotFields>
  <rowFields count="1">
    <field x="4"/>
  </rowFields>
  <rowItems count="11">
    <i>
      <x/>
    </i>
    <i>
      <x v="67"/>
    </i>
    <i>
      <x v="36"/>
    </i>
    <i>
      <x v="144"/>
    </i>
    <i>
      <x v="54"/>
    </i>
    <i>
      <x v="129"/>
    </i>
    <i>
      <x v="24"/>
    </i>
    <i>
      <x v="141"/>
    </i>
    <i>
      <x v="102"/>
    </i>
    <i>
      <x v="125"/>
    </i>
    <i t="grand">
      <x/>
    </i>
  </rowItems>
  <colItems count="1">
    <i/>
  </colItems>
  <dataFields count="1">
    <dataField name="Sum of Revenue" fld="12" showDataAs="percentOfTotal" baseField="0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FFC57-FD31-4DB5-AF69-2F58B8150B47}" name="PivotTable5" cacheId="37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">
  <location ref="D5:E18" firstHeaderRow="1" firstDataRow="1" firstDataCol="1"/>
  <pivotFields count="16">
    <pivotField compact="0" outline="0" showAll="0"/>
    <pivotField compact="0" numFmtId="165" outline="0" showAll="0"/>
    <pivotField axis="axisRow" compact="0" outline="0" showAll="0">
      <items count="13">
        <item x="3"/>
        <item x="11"/>
        <item x="2"/>
        <item x="4"/>
        <item x="0"/>
        <item x="1"/>
        <item x="10"/>
        <item x="6"/>
        <item x="5"/>
        <item x="8"/>
        <item x="7"/>
        <item x="9"/>
        <item t="default"/>
      </items>
    </pivotField>
    <pivotField compact="0" outline="0" showAll="0"/>
    <pivotField compact="0" outline="0" showAll="0">
      <items count="189">
        <item x="187"/>
        <item x="7"/>
        <item x="79"/>
        <item x="180"/>
        <item x="78"/>
        <item x="65"/>
        <item x="161"/>
        <item x="17"/>
        <item x="172"/>
        <item x="69"/>
        <item x="171"/>
        <item x="80"/>
        <item x="150"/>
        <item x="158"/>
        <item x="111"/>
        <item x="19"/>
        <item x="8"/>
        <item x="30"/>
        <item x="106"/>
        <item x="92"/>
        <item x="174"/>
        <item x="11"/>
        <item x="6"/>
        <item x="22"/>
        <item x="87"/>
        <item x="163"/>
        <item x="179"/>
        <item x="0"/>
        <item x="70"/>
        <item x="151"/>
        <item x="63"/>
        <item x="105"/>
        <item x="184"/>
        <item x="75"/>
        <item x="16"/>
        <item x="162"/>
        <item x="108"/>
        <item x="81"/>
        <item x="124"/>
        <item x="126"/>
        <item x="164"/>
        <item x="36"/>
        <item x="82"/>
        <item x="173"/>
        <item x="170"/>
        <item x="96"/>
        <item x="178"/>
        <item x="24"/>
        <item x="2"/>
        <item x="45"/>
        <item x="138"/>
        <item x="62"/>
        <item x="18"/>
        <item x="131"/>
        <item x="175"/>
        <item x="46"/>
        <item x="31"/>
        <item x="181"/>
        <item x="37"/>
        <item x="133"/>
        <item x="114"/>
        <item x="132"/>
        <item x="56"/>
        <item x="10"/>
        <item x="121"/>
        <item x="140"/>
        <item x="139"/>
        <item x="20"/>
        <item x="142"/>
        <item x="97"/>
        <item x="130"/>
        <item x="137"/>
        <item x="61"/>
        <item x="125"/>
        <item x="123"/>
        <item x="118"/>
        <item x="38"/>
        <item x="116"/>
        <item x="112"/>
        <item x="101"/>
        <item x="177"/>
        <item x="128"/>
        <item x="186"/>
        <item x="57"/>
        <item x="68"/>
        <item x="89"/>
        <item x="169"/>
        <item x="76"/>
        <item x="66"/>
        <item x="13"/>
        <item x="39"/>
        <item x="102"/>
        <item x="72"/>
        <item x="115"/>
        <item x="107"/>
        <item x="185"/>
        <item x="88"/>
        <item x="165"/>
        <item x="157"/>
        <item x="86"/>
        <item x="183"/>
        <item x="93"/>
        <item x="74"/>
        <item x="182"/>
        <item x="144"/>
        <item x="3"/>
        <item x="55"/>
        <item x="21"/>
        <item x="77"/>
        <item x="47"/>
        <item x="59"/>
        <item x="149"/>
        <item x="64"/>
        <item x="4"/>
        <item x="52"/>
        <item x="152"/>
        <item x="159"/>
        <item x="166"/>
        <item x="103"/>
        <item x="160"/>
        <item x="67"/>
        <item x="58"/>
        <item x="91"/>
        <item x="94"/>
        <item x="23"/>
        <item x="109"/>
        <item x="5"/>
        <item x="146"/>
        <item x="113"/>
        <item x="156"/>
        <item x="27"/>
        <item x="167"/>
        <item x="155"/>
        <item x="71"/>
        <item x="9"/>
        <item x="33"/>
        <item x="129"/>
        <item x="127"/>
        <item x="134"/>
        <item x="14"/>
        <item x="90"/>
        <item x="110"/>
        <item x="49"/>
        <item x="98"/>
        <item x="147"/>
        <item x="95"/>
        <item x="48"/>
        <item x="28"/>
        <item x="100"/>
        <item x="117"/>
        <item x="148"/>
        <item x="1"/>
        <item x="83"/>
        <item x="40"/>
        <item x="122"/>
        <item x="84"/>
        <item x="54"/>
        <item x="12"/>
        <item x="26"/>
        <item x="51"/>
        <item x="43"/>
        <item x="120"/>
        <item x="73"/>
        <item x="168"/>
        <item x="50"/>
        <item x="32"/>
        <item x="15"/>
        <item x="53"/>
        <item x="145"/>
        <item x="99"/>
        <item x="153"/>
        <item x="34"/>
        <item x="85"/>
        <item x="25"/>
        <item x="42"/>
        <item x="154"/>
        <item x="119"/>
        <item x="104"/>
        <item x="143"/>
        <item x="176"/>
        <item x="41"/>
        <item x="141"/>
        <item x="35"/>
        <item x="135"/>
        <item x="60"/>
        <item x="44"/>
        <item x="136"/>
        <item x="29"/>
        <item t="default"/>
      </items>
    </pivotField>
    <pivotField compact="0" outline="0" showAll="0"/>
    <pivotField compact="0" outline="0" showAll="0">
      <items count="69">
        <item x="41"/>
        <item x="16"/>
        <item x="65"/>
        <item x="4"/>
        <item x="43"/>
        <item x="23"/>
        <item x="48"/>
        <item x="32"/>
        <item x="31"/>
        <item x="12"/>
        <item x="7"/>
        <item x="6"/>
        <item x="19"/>
        <item x="36"/>
        <item x="1"/>
        <item x="22"/>
        <item x="59"/>
        <item x="26"/>
        <item x="13"/>
        <item x="0"/>
        <item x="45"/>
        <item x="61"/>
        <item x="56"/>
        <item x="57"/>
        <item x="27"/>
        <item x="42"/>
        <item x="38"/>
        <item x="53"/>
        <item x="28"/>
        <item x="9"/>
        <item x="10"/>
        <item x="62"/>
        <item x="49"/>
        <item x="51"/>
        <item x="20"/>
        <item x="33"/>
        <item x="8"/>
        <item x="35"/>
        <item x="15"/>
        <item x="47"/>
        <item x="21"/>
        <item x="17"/>
        <item x="25"/>
        <item x="24"/>
        <item x="18"/>
        <item x="34"/>
        <item x="54"/>
        <item x="11"/>
        <item x="64"/>
        <item x="3"/>
        <item x="29"/>
        <item x="66"/>
        <item x="58"/>
        <item x="60"/>
        <item x="37"/>
        <item x="50"/>
        <item x="67"/>
        <item x="52"/>
        <item x="14"/>
        <item x="55"/>
        <item x="39"/>
        <item x="63"/>
        <item x="30"/>
        <item x="40"/>
        <item x="44"/>
        <item x="2"/>
        <item x="46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7">
        <item h="1" x="2"/>
        <item h="1" x="3"/>
        <item x="1"/>
        <item h="1" x="0"/>
        <item h="1" x="4"/>
        <item h="1" x="5"/>
        <item t="default"/>
      </items>
    </pivotField>
    <pivotField compact="0" outline="0" showAll="0"/>
    <pivotField dataField="1" compact="0" outline="0" showAll="0"/>
    <pivotField compact="0" outline="0" showAll="0">
      <items count="13">
        <item x="3"/>
        <item x="11"/>
        <item x="2"/>
        <item x="4"/>
        <item x="0"/>
        <item x="1"/>
        <item x="10"/>
        <item x="6"/>
        <item x="5"/>
        <item x="8"/>
        <item x="7"/>
        <item x="9"/>
        <item t="default"/>
      </items>
    </pivotField>
    <pivotField compact="0" outline="0" showAll="0"/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C60AB-7086-4417-84A9-B75DDE5D750D}" name="PivotTable4" cacheId="371" dataOnRows="1" applyNumberFormats="0" applyBorderFormats="0" applyFontFormats="0" applyPatternFormats="0" applyAlignmentFormats="0" applyWidthHeightFormats="1" dataCaption="Average Order Value" updatedVersion="8" minRefreshableVersion="3" useAutoFormatting="1" itemPrintTitles="1" createdVersion="8" indent="0" compact="0" compactData="0" multipleFieldFilters="0">
  <location ref="L1:M3" firstHeaderRow="1" firstDataRow="1" firstDataCol="1"/>
  <pivotFields count="16">
    <pivotField dataField="1" compact="0" outline="0" showAll="0"/>
    <pivotField compact="0" numFmtId="165" outline="0" showAll="0"/>
    <pivotField compact="0" outline="0" showAll="0"/>
    <pivotField compact="0" outline="0" showAll="0"/>
    <pivotField compact="0" outline="0" showAll="0">
      <items count="189">
        <item x="187"/>
        <item x="7"/>
        <item x="79"/>
        <item x="180"/>
        <item x="78"/>
        <item x="65"/>
        <item x="161"/>
        <item x="17"/>
        <item x="172"/>
        <item x="69"/>
        <item x="171"/>
        <item x="80"/>
        <item x="150"/>
        <item x="158"/>
        <item x="111"/>
        <item x="19"/>
        <item x="8"/>
        <item x="30"/>
        <item x="106"/>
        <item x="92"/>
        <item x="174"/>
        <item x="11"/>
        <item x="6"/>
        <item x="22"/>
        <item x="87"/>
        <item x="163"/>
        <item x="179"/>
        <item x="0"/>
        <item x="70"/>
        <item x="151"/>
        <item x="63"/>
        <item x="105"/>
        <item x="184"/>
        <item x="75"/>
        <item x="16"/>
        <item x="162"/>
        <item x="108"/>
        <item x="81"/>
        <item x="124"/>
        <item x="126"/>
        <item x="164"/>
        <item x="36"/>
        <item x="82"/>
        <item x="173"/>
        <item x="170"/>
        <item x="96"/>
        <item x="178"/>
        <item x="24"/>
        <item x="2"/>
        <item x="45"/>
        <item x="138"/>
        <item x="62"/>
        <item x="18"/>
        <item x="131"/>
        <item x="175"/>
        <item x="46"/>
        <item x="31"/>
        <item x="181"/>
        <item x="37"/>
        <item x="133"/>
        <item x="114"/>
        <item x="132"/>
        <item x="56"/>
        <item x="10"/>
        <item x="121"/>
        <item x="140"/>
        <item x="139"/>
        <item x="20"/>
        <item x="142"/>
        <item x="97"/>
        <item x="130"/>
        <item x="137"/>
        <item x="61"/>
        <item x="125"/>
        <item x="123"/>
        <item x="118"/>
        <item x="38"/>
        <item x="116"/>
        <item x="112"/>
        <item x="101"/>
        <item x="177"/>
        <item x="128"/>
        <item x="186"/>
        <item x="57"/>
        <item x="68"/>
        <item x="89"/>
        <item x="169"/>
        <item x="76"/>
        <item x="66"/>
        <item x="13"/>
        <item x="39"/>
        <item x="102"/>
        <item x="72"/>
        <item x="115"/>
        <item x="107"/>
        <item x="185"/>
        <item x="88"/>
        <item x="165"/>
        <item x="157"/>
        <item x="86"/>
        <item x="183"/>
        <item x="93"/>
        <item x="74"/>
        <item x="182"/>
        <item x="144"/>
        <item x="3"/>
        <item x="55"/>
        <item x="21"/>
        <item x="77"/>
        <item x="47"/>
        <item x="59"/>
        <item x="149"/>
        <item x="64"/>
        <item x="4"/>
        <item x="52"/>
        <item x="152"/>
        <item x="159"/>
        <item x="166"/>
        <item x="103"/>
        <item x="160"/>
        <item x="67"/>
        <item x="58"/>
        <item x="91"/>
        <item x="94"/>
        <item x="23"/>
        <item x="109"/>
        <item x="5"/>
        <item x="146"/>
        <item x="113"/>
        <item x="156"/>
        <item x="27"/>
        <item x="167"/>
        <item x="155"/>
        <item x="71"/>
        <item x="9"/>
        <item x="33"/>
        <item x="129"/>
        <item x="127"/>
        <item x="134"/>
        <item x="14"/>
        <item x="90"/>
        <item x="110"/>
        <item x="49"/>
        <item x="98"/>
        <item x="147"/>
        <item x="95"/>
        <item x="48"/>
        <item x="28"/>
        <item x="100"/>
        <item x="117"/>
        <item x="148"/>
        <item x="1"/>
        <item x="83"/>
        <item x="40"/>
        <item x="122"/>
        <item x="84"/>
        <item x="54"/>
        <item x="12"/>
        <item x="26"/>
        <item x="51"/>
        <item x="43"/>
        <item x="120"/>
        <item x="73"/>
        <item x="168"/>
        <item x="50"/>
        <item x="32"/>
        <item x="15"/>
        <item x="53"/>
        <item x="145"/>
        <item x="99"/>
        <item x="153"/>
        <item x="34"/>
        <item x="85"/>
        <item x="25"/>
        <item x="42"/>
        <item x="154"/>
        <item x="119"/>
        <item x="104"/>
        <item x="143"/>
        <item x="176"/>
        <item x="41"/>
        <item x="141"/>
        <item x="35"/>
        <item x="135"/>
        <item x="60"/>
        <item x="44"/>
        <item x="136"/>
        <item x="29"/>
        <item t="default"/>
      </items>
    </pivotField>
    <pivotField compact="0" outline="0" showAll="0"/>
    <pivotField compact="0" outline="0" showAll="0">
      <items count="69">
        <item x="41"/>
        <item x="16"/>
        <item x="65"/>
        <item x="4"/>
        <item x="43"/>
        <item x="23"/>
        <item x="48"/>
        <item x="32"/>
        <item x="31"/>
        <item x="12"/>
        <item x="7"/>
        <item x="6"/>
        <item x="19"/>
        <item x="36"/>
        <item x="1"/>
        <item x="22"/>
        <item x="59"/>
        <item x="26"/>
        <item x="13"/>
        <item x="0"/>
        <item x="45"/>
        <item x="61"/>
        <item x="56"/>
        <item x="57"/>
        <item x="27"/>
        <item x="42"/>
        <item x="38"/>
        <item x="53"/>
        <item x="28"/>
        <item x="9"/>
        <item x="10"/>
        <item x="62"/>
        <item x="49"/>
        <item x="51"/>
        <item x="20"/>
        <item x="33"/>
        <item x="8"/>
        <item x="35"/>
        <item x="15"/>
        <item x="47"/>
        <item x="21"/>
        <item x="17"/>
        <item x="25"/>
        <item x="24"/>
        <item x="18"/>
        <item x="34"/>
        <item x="54"/>
        <item x="11"/>
        <item x="64"/>
        <item x="3"/>
        <item x="29"/>
        <item x="66"/>
        <item x="58"/>
        <item x="60"/>
        <item x="37"/>
        <item x="50"/>
        <item x="67"/>
        <item x="52"/>
        <item x="14"/>
        <item x="55"/>
        <item x="39"/>
        <item x="63"/>
        <item x="30"/>
        <item x="40"/>
        <item x="44"/>
        <item x="2"/>
        <item x="46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7">
        <item h="1" x="2"/>
        <item h="1" x="3"/>
        <item x="1"/>
        <item h="1" x="0"/>
        <item h="1" x="4"/>
        <item h="1" x="5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Revenue" fld="12" baseField="0" baseItem="0"/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0DB45-EB8B-4275-B716-AC69CFAC79CD}" name="PivotTable3" cacheId="37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I1:I2" firstHeaderRow="1" firstDataRow="1" firstDataCol="0"/>
  <pivotFields count="16">
    <pivotField compact="0" outline="0" showAll="0"/>
    <pivotField compact="0" numFmtId="165" outline="0" showAll="0"/>
    <pivotField compact="0" outline="0" showAll="0"/>
    <pivotField dataField="1" compact="0" outline="0" showAll="0"/>
    <pivotField compact="0" outline="0" showAll="0">
      <items count="189">
        <item x="187"/>
        <item x="7"/>
        <item x="79"/>
        <item x="180"/>
        <item x="78"/>
        <item x="65"/>
        <item x="161"/>
        <item x="17"/>
        <item x="172"/>
        <item x="69"/>
        <item x="171"/>
        <item x="80"/>
        <item x="150"/>
        <item x="158"/>
        <item x="111"/>
        <item x="19"/>
        <item x="8"/>
        <item x="30"/>
        <item x="106"/>
        <item x="92"/>
        <item x="174"/>
        <item x="11"/>
        <item x="6"/>
        <item x="22"/>
        <item x="87"/>
        <item x="163"/>
        <item x="179"/>
        <item x="0"/>
        <item x="70"/>
        <item x="151"/>
        <item x="63"/>
        <item x="105"/>
        <item x="184"/>
        <item x="75"/>
        <item x="16"/>
        <item x="162"/>
        <item x="108"/>
        <item x="81"/>
        <item x="124"/>
        <item x="126"/>
        <item x="164"/>
        <item x="36"/>
        <item x="82"/>
        <item x="173"/>
        <item x="170"/>
        <item x="96"/>
        <item x="178"/>
        <item x="24"/>
        <item x="2"/>
        <item x="45"/>
        <item x="138"/>
        <item x="62"/>
        <item x="18"/>
        <item x="131"/>
        <item x="175"/>
        <item x="46"/>
        <item x="31"/>
        <item x="181"/>
        <item x="37"/>
        <item x="133"/>
        <item x="114"/>
        <item x="132"/>
        <item x="56"/>
        <item x="10"/>
        <item x="121"/>
        <item x="140"/>
        <item x="139"/>
        <item x="20"/>
        <item x="142"/>
        <item x="97"/>
        <item x="130"/>
        <item x="137"/>
        <item x="61"/>
        <item x="125"/>
        <item x="123"/>
        <item x="118"/>
        <item x="38"/>
        <item x="116"/>
        <item x="112"/>
        <item x="101"/>
        <item x="177"/>
        <item x="128"/>
        <item x="186"/>
        <item x="57"/>
        <item x="68"/>
        <item x="89"/>
        <item x="169"/>
        <item x="76"/>
        <item x="66"/>
        <item x="13"/>
        <item x="39"/>
        <item x="102"/>
        <item x="72"/>
        <item x="115"/>
        <item x="107"/>
        <item x="185"/>
        <item x="88"/>
        <item x="165"/>
        <item x="157"/>
        <item x="86"/>
        <item x="183"/>
        <item x="93"/>
        <item x="74"/>
        <item x="182"/>
        <item x="144"/>
        <item x="3"/>
        <item x="55"/>
        <item x="21"/>
        <item x="77"/>
        <item x="47"/>
        <item x="59"/>
        <item x="149"/>
        <item x="64"/>
        <item x="4"/>
        <item x="52"/>
        <item x="152"/>
        <item x="159"/>
        <item x="166"/>
        <item x="103"/>
        <item x="160"/>
        <item x="67"/>
        <item x="58"/>
        <item x="91"/>
        <item x="94"/>
        <item x="23"/>
        <item x="109"/>
        <item x="5"/>
        <item x="146"/>
        <item x="113"/>
        <item x="156"/>
        <item x="27"/>
        <item x="167"/>
        <item x="155"/>
        <item x="71"/>
        <item x="9"/>
        <item x="33"/>
        <item x="129"/>
        <item x="127"/>
        <item x="134"/>
        <item x="14"/>
        <item x="90"/>
        <item x="110"/>
        <item x="49"/>
        <item x="98"/>
        <item x="147"/>
        <item x="95"/>
        <item x="48"/>
        <item x="28"/>
        <item x="100"/>
        <item x="117"/>
        <item x="148"/>
        <item x="1"/>
        <item x="83"/>
        <item x="40"/>
        <item x="122"/>
        <item x="84"/>
        <item x="54"/>
        <item x="12"/>
        <item x="26"/>
        <item x="51"/>
        <item x="43"/>
        <item x="120"/>
        <item x="73"/>
        <item x="168"/>
        <item x="50"/>
        <item x="32"/>
        <item x="15"/>
        <item x="53"/>
        <item x="145"/>
        <item x="99"/>
        <item x="153"/>
        <item x="34"/>
        <item x="85"/>
        <item x="25"/>
        <item x="42"/>
        <item x="154"/>
        <item x="119"/>
        <item x="104"/>
        <item x="143"/>
        <item x="176"/>
        <item x="41"/>
        <item x="141"/>
        <item x="35"/>
        <item x="135"/>
        <item x="60"/>
        <item x="44"/>
        <item x="136"/>
        <item x="29"/>
        <item t="default"/>
      </items>
    </pivotField>
    <pivotField compact="0" outline="0" showAll="0"/>
    <pivotField compact="0" outline="0" showAll="0">
      <items count="69">
        <item x="41"/>
        <item x="16"/>
        <item x="65"/>
        <item x="4"/>
        <item x="43"/>
        <item x="23"/>
        <item x="48"/>
        <item x="32"/>
        <item x="31"/>
        <item x="12"/>
        <item x="7"/>
        <item x="6"/>
        <item x="19"/>
        <item x="36"/>
        <item x="1"/>
        <item x="22"/>
        <item x="59"/>
        <item x="26"/>
        <item x="13"/>
        <item x="0"/>
        <item x="45"/>
        <item x="61"/>
        <item x="56"/>
        <item x="57"/>
        <item x="27"/>
        <item x="42"/>
        <item x="38"/>
        <item x="53"/>
        <item x="28"/>
        <item x="9"/>
        <item x="10"/>
        <item x="62"/>
        <item x="49"/>
        <item x="51"/>
        <item x="20"/>
        <item x="33"/>
        <item x="8"/>
        <item x="35"/>
        <item x="15"/>
        <item x="47"/>
        <item x="21"/>
        <item x="17"/>
        <item x="25"/>
        <item x="24"/>
        <item x="18"/>
        <item x="34"/>
        <item x="54"/>
        <item x="11"/>
        <item x="64"/>
        <item x="3"/>
        <item x="29"/>
        <item x="66"/>
        <item x="58"/>
        <item x="60"/>
        <item x="37"/>
        <item x="50"/>
        <item x="67"/>
        <item x="52"/>
        <item x="14"/>
        <item x="55"/>
        <item x="39"/>
        <item x="63"/>
        <item x="30"/>
        <item x="40"/>
        <item x="44"/>
        <item x="2"/>
        <item x="46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7">
        <item h="1" x="2"/>
        <item h="1" x="3"/>
        <item x="1"/>
        <item h="1" x="0"/>
        <item h="1"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Count of Custome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E3602-54D9-4F0A-BBE9-E6DA77F964EF}" name="PivotTable2" cacheId="37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G1:G2" firstHeaderRow="1" firstDataRow="1" firstDataCol="0"/>
  <pivotFields count="16">
    <pivotField dataField="1" compact="0" outline="0" showAll="0"/>
    <pivotField compact="0" numFmtId="165" outline="0" showAll="0"/>
    <pivotField compact="0" outline="0" showAll="0"/>
    <pivotField compact="0" outline="0" showAll="0"/>
    <pivotField compact="0" outline="0" showAll="0">
      <items count="189">
        <item x="187"/>
        <item x="7"/>
        <item x="79"/>
        <item x="180"/>
        <item x="78"/>
        <item x="65"/>
        <item x="161"/>
        <item x="17"/>
        <item x="172"/>
        <item x="69"/>
        <item x="171"/>
        <item x="80"/>
        <item x="150"/>
        <item x="158"/>
        <item x="111"/>
        <item x="19"/>
        <item x="8"/>
        <item x="30"/>
        <item x="106"/>
        <item x="92"/>
        <item x="174"/>
        <item x="11"/>
        <item x="6"/>
        <item x="22"/>
        <item x="87"/>
        <item x="163"/>
        <item x="179"/>
        <item x="0"/>
        <item x="70"/>
        <item x="151"/>
        <item x="63"/>
        <item x="105"/>
        <item x="184"/>
        <item x="75"/>
        <item x="16"/>
        <item x="162"/>
        <item x="108"/>
        <item x="81"/>
        <item x="124"/>
        <item x="126"/>
        <item x="164"/>
        <item x="36"/>
        <item x="82"/>
        <item x="173"/>
        <item x="170"/>
        <item x="96"/>
        <item x="178"/>
        <item x="24"/>
        <item x="2"/>
        <item x="45"/>
        <item x="138"/>
        <item x="62"/>
        <item x="18"/>
        <item x="131"/>
        <item x="175"/>
        <item x="46"/>
        <item x="31"/>
        <item x="181"/>
        <item x="37"/>
        <item x="133"/>
        <item x="114"/>
        <item x="132"/>
        <item x="56"/>
        <item x="10"/>
        <item x="121"/>
        <item x="140"/>
        <item x="139"/>
        <item x="20"/>
        <item x="142"/>
        <item x="97"/>
        <item x="130"/>
        <item x="137"/>
        <item x="61"/>
        <item x="125"/>
        <item x="123"/>
        <item x="118"/>
        <item x="38"/>
        <item x="116"/>
        <item x="112"/>
        <item x="101"/>
        <item x="177"/>
        <item x="128"/>
        <item x="186"/>
        <item x="57"/>
        <item x="68"/>
        <item x="89"/>
        <item x="169"/>
        <item x="76"/>
        <item x="66"/>
        <item x="13"/>
        <item x="39"/>
        <item x="102"/>
        <item x="72"/>
        <item x="115"/>
        <item x="107"/>
        <item x="185"/>
        <item x="88"/>
        <item x="165"/>
        <item x="157"/>
        <item x="86"/>
        <item x="183"/>
        <item x="93"/>
        <item x="74"/>
        <item x="182"/>
        <item x="144"/>
        <item x="3"/>
        <item x="55"/>
        <item x="21"/>
        <item x="77"/>
        <item x="47"/>
        <item x="59"/>
        <item x="149"/>
        <item x="64"/>
        <item x="4"/>
        <item x="52"/>
        <item x="152"/>
        <item x="159"/>
        <item x="166"/>
        <item x="103"/>
        <item x="160"/>
        <item x="67"/>
        <item x="58"/>
        <item x="91"/>
        <item x="94"/>
        <item x="23"/>
        <item x="109"/>
        <item x="5"/>
        <item x="146"/>
        <item x="113"/>
        <item x="156"/>
        <item x="27"/>
        <item x="167"/>
        <item x="155"/>
        <item x="71"/>
        <item x="9"/>
        <item x="33"/>
        <item x="129"/>
        <item x="127"/>
        <item x="134"/>
        <item x="14"/>
        <item x="90"/>
        <item x="110"/>
        <item x="49"/>
        <item x="98"/>
        <item x="147"/>
        <item x="95"/>
        <item x="48"/>
        <item x="28"/>
        <item x="100"/>
        <item x="117"/>
        <item x="148"/>
        <item x="1"/>
        <item x="83"/>
        <item x="40"/>
        <item x="122"/>
        <item x="84"/>
        <item x="54"/>
        <item x="12"/>
        <item x="26"/>
        <item x="51"/>
        <item x="43"/>
        <item x="120"/>
        <item x="73"/>
        <item x="168"/>
        <item x="50"/>
        <item x="32"/>
        <item x="15"/>
        <item x="53"/>
        <item x="145"/>
        <item x="99"/>
        <item x="153"/>
        <item x="34"/>
        <item x="85"/>
        <item x="25"/>
        <item x="42"/>
        <item x="154"/>
        <item x="119"/>
        <item x="104"/>
        <item x="143"/>
        <item x="176"/>
        <item x="41"/>
        <item x="141"/>
        <item x="35"/>
        <item x="135"/>
        <item x="60"/>
        <item x="44"/>
        <item x="136"/>
        <item x="29"/>
        <item t="default"/>
      </items>
    </pivotField>
    <pivotField compact="0" outline="0" showAll="0"/>
    <pivotField compact="0" outline="0" showAll="0">
      <items count="69">
        <item x="41"/>
        <item x="16"/>
        <item x="65"/>
        <item x="4"/>
        <item x="43"/>
        <item x="23"/>
        <item x="48"/>
        <item x="32"/>
        <item x="31"/>
        <item x="12"/>
        <item x="7"/>
        <item x="6"/>
        <item x="19"/>
        <item x="36"/>
        <item x="1"/>
        <item x="22"/>
        <item x="59"/>
        <item x="26"/>
        <item x="13"/>
        <item x="0"/>
        <item x="45"/>
        <item x="61"/>
        <item x="56"/>
        <item x="57"/>
        <item x="27"/>
        <item x="42"/>
        <item x="38"/>
        <item x="53"/>
        <item x="28"/>
        <item x="9"/>
        <item x="10"/>
        <item x="62"/>
        <item x="49"/>
        <item x="51"/>
        <item x="20"/>
        <item x="33"/>
        <item x="8"/>
        <item x="35"/>
        <item x="15"/>
        <item x="47"/>
        <item x="21"/>
        <item x="17"/>
        <item x="25"/>
        <item x="24"/>
        <item x="18"/>
        <item x="34"/>
        <item x="54"/>
        <item x="11"/>
        <item x="64"/>
        <item x="3"/>
        <item x="29"/>
        <item x="66"/>
        <item x="58"/>
        <item x="60"/>
        <item x="37"/>
        <item x="50"/>
        <item x="67"/>
        <item x="52"/>
        <item x="14"/>
        <item x="55"/>
        <item x="39"/>
        <item x="63"/>
        <item x="30"/>
        <item x="40"/>
        <item x="44"/>
        <item x="2"/>
        <item x="46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7">
        <item h="1" x="2"/>
        <item h="1" x="3"/>
        <item x="1"/>
        <item h="1" x="0"/>
        <item h="1"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16E6B-4EA3-4750-AED3-9C85D5E76BCD}" name="PivotTable1" cacheId="3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:D2" firstHeaderRow="1" firstDataRow="1" firstDataCol="0"/>
  <pivotFields count="16"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>
      <items count="189">
        <item x="187"/>
        <item x="7"/>
        <item x="79"/>
        <item x="180"/>
        <item x="78"/>
        <item x="65"/>
        <item x="161"/>
        <item x="17"/>
        <item x="172"/>
        <item x="69"/>
        <item x="171"/>
        <item x="80"/>
        <item x="150"/>
        <item x="158"/>
        <item x="111"/>
        <item x="19"/>
        <item x="8"/>
        <item x="30"/>
        <item x="106"/>
        <item x="92"/>
        <item x="174"/>
        <item x="11"/>
        <item x="6"/>
        <item x="22"/>
        <item x="87"/>
        <item x="163"/>
        <item x="179"/>
        <item x="0"/>
        <item x="70"/>
        <item x="151"/>
        <item x="63"/>
        <item x="105"/>
        <item x="184"/>
        <item x="75"/>
        <item x="16"/>
        <item x="162"/>
        <item x="108"/>
        <item x="81"/>
        <item x="124"/>
        <item x="126"/>
        <item x="164"/>
        <item x="36"/>
        <item x="82"/>
        <item x="173"/>
        <item x="170"/>
        <item x="96"/>
        <item x="178"/>
        <item x="24"/>
        <item x="2"/>
        <item x="45"/>
        <item x="138"/>
        <item x="62"/>
        <item x="18"/>
        <item x="131"/>
        <item x="175"/>
        <item x="46"/>
        <item x="31"/>
        <item x="181"/>
        <item x="37"/>
        <item x="133"/>
        <item x="114"/>
        <item x="132"/>
        <item x="56"/>
        <item x="10"/>
        <item x="121"/>
        <item x="140"/>
        <item x="139"/>
        <item x="20"/>
        <item x="142"/>
        <item x="97"/>
        <item x="130"/>
        <item x="137"/>
        <item x="61"/>
        <item x="125"/>
        <item x="123"/>
        <item x="118"/>
        <item x="38"/>
        <item x="116"/>
        <item x="112"/>
        <item x="101"/>
        <item x="177"/>
        <item x="128"/>
        <item x="186"/>
        <item x="57"/>
        <item x="68"/>
        <item x="89"/>
        <item x="169"/>
        <item x="76"/>
        <item x="66"/>
        <item x="13"/>
        <item x="39"/>
        <item x="102"/>
        <item x="72"/>
        <item x="115"/>
        <item x="107"/>
        <item x="185"/>
        <item x="88"/>
        <item x="165"/>
        <item x="157"/>
        <item x="86"/>
        <item x="183"/>
        <item x="93"/>
        <item x="74"/>
        <item x="182"/>
        <item x="144"/>
        <item x="3"/>
        <item x="55"/>
        <item x="21"/>
        <item x="77"/>
        <item x="47"/>
        <item x="59"/>
        <item x="149"/>
        <item x="64"/>
        <item x="4"/>
        <item x="52"/>
        <item x="152"/>
        <item x="159"/>
        <item x="166"/>
        <item x="103"/>
        <item x="160"/>
        <item x="67"/>
        <item x="58"/>
        <item x="91"/>
        <item x="94"/>
        <item x="23"/>
        <item x="109"/>
        <item x="5"/>
        <item x="146"/>
        <item x="113"/>
        <item x="156"/>
        <item x="27"/>
        <item x="167"/>
        <item x="155"/>
        <item x="71"/>
        <item x="9"/>
        <item x="33"/>
        <item x="129"/>
        <item x="127"/>
        <item x="134"/>
        <item x="14"/>
        <item x="90"/>
        <item x="110"/>
        <item x="49"/>
        <item x="98"/>
        <item x="147"/>
        <item x="95"/>
        <item x="48"/>
        <item x="28"/>
        <item x="100"/>
        <item x="117"/>
        <item x="148"/>
        <item x="1"/>
        <item x="83"/>
        <item x="40"/>
        <item x="122"/>
        <item x="84"/>
        <item x="54"/>
        <item x="12"/>
        <item x="26"/>
        <item x="51"/>
        <item x="43"/>
        <item x="120"/>
        <item x="73"/>
        <item x="168"/>
        <item x="50"/>
        <item x="32"/>
        <item x="15"/>
        <item x="53"/>
        <item x="145"/>
        <item x="99"/>
        <item x="153"/>
        <item x="34"/>
        <item x="85"/>
        <item x="25"/>
        <item x="42"/>
        <item x="154"/>
        <item x="119"/>
        <item x="104"/>
        <item x="143"/>
        <item x="176"/>
        <item x="41"/>
        <item x="141"/>
        <item x="35"/>
        <item x="135"/>
        <item x="60"/>
        <item x="44"/>
        <item x="136"/>
        <item x="29"/>
        <item t="default"/>
      </items>
    </pivotField>
    <pivotField compact="0" outline="0" showAll="0"/>
    <pivotField compact="0" outline="0" showAll="0">
      <items count="69">
        <item x="41"/>
        <item x="16"/>
        <item x="65"/>
        <item x="4"/>
        <item x="43"/>
        <item x="23"/>
        <item x="48"/>
        <item x="32"/>
        <item x="31"/>
        <item x="12"/>
        <item x="7"/>
        <item x="6"/>
        <item x="19"/>
        <item x="36"/>
        <item x="1"/>
        <item x="22"/>
        <item x="59"/>
        <item x="26"/>
        <item x="13"/>
        <item x="0"/>
        <item x="45"/>
        <item x="61"/>
        <item x="56"/>
        <item x="57"/>
        <item x="27"/>
        <item x="42"/>
        <item x="38"/>
        <item x="53"/>
        <item x="28"/>
        <item x="9"/>
        <item x="10"/>
        <item x="62"/>
        <item x="49"/>
        <item x="51"/>
        <item x="20"/>
        <item x="33"/>
        <item x="8"/>
        <item x="35"/>
        <item x="15"/>
        <item x="47"/>
        <item x="21"/>
        <item x="17"/>
        <item x="25"/>
        <item x="24"/>
        <item x="18"/>
        <item x="34"/>
        <item x="54"/>
        <item x="11"/>
        <item x="64"/>
        <item x="3"/>
        <item x="29"/>
        <item x="66"/>
        <item x="58"/>
        <item x="60"/>
        <item x="37"/>
        <item x="50"/>
        <item x="67"/>
        <item x="52"/>
        <item x="14"/>
        <item x="55"/>
        <item x="39"/>
        <item x="63"/>
        <item x="30"/>
        <item x="40"/>
        <item x="44"/>
        <item x="2"/>
        <item x="46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7">
        <item h="1" x="2"/>
        <item h="1" x="3"/>
        <item x="1"/>
        <item h="1" x="0"/>
        <item h="1" x="4"/>
        <item h="1" x="5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Reven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CB330FB0-AEED-45DA-A377-C58665E46EE4}" sourceName="Region">
  <pivotTables>
    <pivotTable tabId="2" name="PivotTable8"/>
    <pivotTable tabId="2" name="PivotTable7"/>
    <pivotTable tabId="2" name="PivotTable6"/>
    <pivotTable tabId="2" name="PivotTable5"/>
    <pivotTable tabId="2" name="PivotTable4"/>
    <pivotTable tabId="2" name="PivotTable3"/>
    <pivotTable tabId="2" name="PivotTable1"/>
    <pivotTable tabId="2" name="PivotTable2"/>
  </pivotTables>
  <data>
    <tabular pivotCacheId="253719444">
      <items count="188">
        <i x="65" s="1"/>
        <i x="172" s="1"/>
        <i x="69" s="1"/>
        <i x="22" s="1"/>
        <i x="63" s="1"/>
        <i x="16" s="1"/>
        <i x="173" s="1"/>
        <i x="178" s="1"/>
        <i x="37" s="1"/>
        <i x="56" s="1"/>
        <i x="121" s="1"/>
        <i x="61" s="1"/>
        <i x="57" s="1"/>
        <i x="68" s="1"/>
        <i x="89" s="1"/>
        <i x="13" s="1"/>
        <i x="3" s="1"/>
        <i x="149" s="1"/>
        <i x="4" s="1"/>
        <i x="160" s="1"/>
        <i x="67" s="1"/>
        <i x="109" s="1"/>
        <i x="146" s="1"/>
        <i x="156" s="1"/>
        <i x="27" s="1"/>
        <i x="71" s="1"/>
        <i x="9" s="1"/>
        <i x="127" s="1"/>
        <i x="48" s="1"/>
        <i x="1" s="1"/>
        <i x="168" s="1"/>
        <i x="53" s="1"/>
        <i x="25" s="1"/>
        <i x="136" s="1"/>
        <i x="29" s="1"/>
        <i x="187" s="1" nd="1"/>
        <i x="7" s="1" nd="1"/>
        <i x="79" s="1" nd="1"/>
        <i x="180" s="1" nd="1"/>
        <i x="78" s="1" nd="1"/>
        <i x="161" s="1" nd="1"/>
        <i x="17" s="1" nd="1"/>
        <i x="171" s="1" nd="1"/>
        <i x="80" s="1" nd="1"/>
        <i x="150" s="1" nd="1"/>
        <i x="158" s="1" nd="1"/>
        <i x="111" s="1" nd="1"/>
        <i x="19" s="1" nd="1"/>
        <i x="8" s="1" nd="1"/>
        <i x="30" s="1" nd="1"/>
        <i x="106" s="1" nd="1"/>
        <i x="92" s="1" nd="1"/>
        <i x="174" s="1" nd="1"/>
        <i x="11" s="1" nd="1"/>
        <i x="6" s="1" nd="1"/>
        <i x="87" s="1" nd="1"/>
        <i x="163" s="1" nd="1"/>
        <i x="179" s="1" nd="1"/>
        <i x="0" s="1" nd="1"/>
        <i x="70" s="1" nd="1"/>
        <i x="151" s="1" nd="1"/>
        <i x="105" s="1" nd="1"/>
        <i x="184" s="1" nd="1"/>
        <i x="75" s="1" nd="1"/>
        <i x="162" s="1" nd="1"/>
        <i x="108" s="1" nd="1"/>
        <i x="81" s="1" nd="1"/>
        <i x="124" s="1" nd="1"/>
        <i x="126" s="1" nd="1"/>
        <i x="164" s="1" nd="1"/>
        <i x="36" s="1" nd="1"/>
        <i x="82" s="1" nd="1"/>
        <i x="170" s="1" nd="1"/>
        <i x="96" s="1" nd="1"/>
        <i x="24" s="1" nd="1"/>
        <i x="2" s="1" nd="1"/>
        <i x="45" s="1" nd="1"/>
        <i x="138" s="1" nd="1"/>
        <i x="62" s="1" nd="1"/>
        <i x="18" s="1" nd="1"/>
        <i x="131" s="1" nd="1"/>
        <i x="175" s="1" nd="1"/>
        <i x="46" s="1" nd="1"/>
        <i x="31" s="1" nd="1"/>
        <i x="181" s="1" nd="1"/>
        <i x="133" s="1" nd="1"/>
        <i x="114" s="1" nd="1"/>
        <i x="132" s="1" nd="1"/>
        <i x="10" s="1" nd="1"/>
        <i x="140" s="1" nd="1"/>
        <i x="139" s="1" nd="1"/>
        <i x="20" s="1" nd="1"/>
        <i x="142" s="1" nd="1"/>
        <i x="97" s="1" nd="1"/>
        <i x="130" s="1" nd="1"/>
        <i x="137" s="1" nd="1"/>
        <i x="125" s="1" nd="1"/>
        <i x="123" s="1" nd="1"/>
        <i x="118" s="1" nd="1"/>
        <i x="38" s="1" nd="1"/>
        <i x="116" s="1" nd="1"/>
        <i x="112" s="1" nd="1"/>
        <i x="101" s="1" nd="1"/>
        <i x="177" s="1" nd="1"/>
        <i x="128" s="1" nd="1"/>
        <i x="186" s="1" nd="1"/>
        <i x="169" s="1" nd="1"/>
        <i x="76" s="1" nd="1"/>
        <i x="66" s="1" nd="1"/>
        <i x="39" s="1" nd="1"/>
        <i x="102" s="1" nd="1"/>
        <i x="72" s="1" nd="1"/>
        <i x="115" s="1" nd="1"/>
        <i x="107" s="1" nd="1"/>
        <i x="185" s="1" nd="1"/>
        <i x="88" s="1" nd="1"/>
        <i x="165" s="1" nd="1"/>
        <i x="157" s="1" nd="1"/>
        <i x="86" s="1" nd="1"/>
        <i x="183" s="1" nd="1"/>
        <i x="93" s="1" nd="1"/>
        <i x="74" s="1" nd="1"/>
        <i x="182" s="1" nd="1"/>
        <i x="144" s="1" nd="1"/>
        <i x="55" s="1" nd="1"/>
        <i x="21" s="1" nd="1"/>
        <i x="77" s="1" nd="1"/>
        <i x="47" s="1" nd="1"/>
        <i x="59" s="1" nd="1"/>
        <i x="64" s="1" nd="1"/>
        <i x="52" s="1" nd="1"/>
        <i x="152" s="1" nd="1"/>
        <i x="159" s="1" nd="1"/>
        <i x="166" s="1" nd="1"/>
        <i x="103" s="1" nd="1"/>
        <i x="58" s="1" nd="1"/>
        <i x="91" s="1" nd="1"/>
        <i x="94" s="1" nd="1"/>
        <i x="23" s="1" nd="1"/>
        <i x="5" s="1" nd="1"/>
        <i x="113" s="1" nd="1"/>
        <i x="167" s="1" nd="1"/>
        <i x="155" s="1" nd="1"/>
        <i x="33" s="1" nd="1"/>
        <i x="129" s="1" nd="1"/>
        <i x="134" s="1" nd="1"/>
        <i x="14" s="1" nd="1"/>
        <i x="90" s="1" nd="1"/>
        <i x="110" s="1" nd="1"/>
        <i x="49" s="1" nd="1"/>
        <i x="98" s="1" nd="1"/>
        <i x="147" s="1" nd="1"/>
        <i x="95" s="1" nd="1"/>
        <i x="28" s="1" nd="1"/>
        <i x="100" s="1" nd="1"/>
        <i x="117" s="1" nd="1"/>
        <i x="148" s="1" nd="1"/>
        <i x="83" s="1" nd="1"/>
        <i x="40" s="1" nd="1"/>
        <i x="122" s="1" nd="1"/>
        <i x="84" s="1" nd="1"/>
        <i x="54" s="1" nd="1"/>
        <i x="12" s="1" nd="1"/>
        <i x="26" s="1" nd="1"/>
        <i x="51" s="1" nd="1"/>
        <i x="43" s="1" nd="1"/>
        <i x="120" s="1" nd="1"/>
        <i x="73" s="1" nd="1"/>
        <i x="50" s="1" nd="1"/>
        <i x="32" s="1" nd="1"/>
        <i x="15" s="1" nd="1"/>
        <i x="145" s="1" nd="1"/>
        <i x="99" s="1" nd="1"/>
        <i x="153" s="1" nd="1"/>
        <i x="34" s="1" nd="1"/>
        <i x="85" s="1" nd="1"/>
        <i x="42" s="1" nd="1"/>
        <i x="154" s="1" nd="1"/>
        <i x="119" s="1" nd="1"/>
        <i x="104" s="1" nd="1"/>
        <i x="143" s="1" nd="1"/>
        <i x="176" s="1" nd="1"/>
        <i x="41" s="1" nd="1"/>
        <i x="141" s="1" nd="1"/>
        <i x="35" s="1" nd="1"/>
        <i x="135" s="1" nd="1"/>
        <i x="60" s="1" nd="1"/>
        <i x="44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B83EC3EB-9D75-4F07-80A6-88D7DB56F3B7}" sourceName="Category">
  <pivotTables>
    <pivotTable tabId="2" name="PivotTable8"/>
    <pivotTable tabId="2" name="PivotTable7"/>
    <pivotTable tabId="2" name="PivotTable6"/>
    <pivotTable tabId="2" name="PivotTable5"/>
    <pivotTable tabId="2" name="PivotTable3"/>
    <pivotTable tabId="2" name="PivotTable2"/>
    <pivotTable tabId="2" name="PivotTable1"/>
    <pivotTable tabId="2" name="PivotTable4"/>
  </pivotTables>
  <data>
    <tabular pivotCacheId="253719444">
      <items count="68">
        <i x="36" s="1"/>
        <i x="22" s="1"/>
        <i x="26" s="1"/>
        <i x="0" s="1"/>
        <i x="56" s="1"/>
        <i x="42" s="1"/>
        <i x="28" s="1"/>
        <i x="9" s="1"/>
        <i x="62" s="1"/>
        <i x="8" s="1"/>
        <i x="47" s="1"/>
        <i x="21" s="1"/>
        <i x="17" s="1"/>
        <i x="25" s="1"/>
        <i x="24" s="1"/>
        <i x="54" s="1"/>
        <i x="11" s="1"/>
        <i x="3" s="1"/>
        <i x="66" s="1"/>
        <i x="58" s="1"/>
        <i x="50" s="1"/>
        <i x="14" s="1"/>
        <i x="55" s="1"/>
        <i x="63" s="1"/>
        <i x="44" s="1"/>
        <i x="2" s="1"/>
        <i x="5" s="1"/>
        <i x="41" s="1" nd="1"/>
        <i x="16" s="1" nd="1"/>
        <i x="65" s="1" nd="1"/>
        <i x="4" s="1" nd="1"/>
        <i x="43" s="1" nd="1"/>
        <i x="23" s="1" nd="1"/>
        <i x="48" s="1" nd="1"/>
        <i x="32" s="1" nd="1"/>
        <i x="31" s="1" nd="1"/>
        <i x="12" s="1" nd="1"/>
        <i x="7" s="1" nd="1"/>
        <i x="6" s="1" nd="1"/>
        <i x="19" s="1" nd="1"/>
        <i x="1" s="1" nd="1"/>
        <i x="59" s="1" nd="1"/>
        <i x="13" s="1" nd="1"/>
        <i x="45" s="1" nd="1"/>
        <i x="61" s="1" nd="1"/>
        <i x="57" s="1" nd="1"/>
        <i x="27" s="1" nd="1"/>
        <i x="38" s="1" nd="1"/>
        <i x="53" s="1" nd="1"/>
        <i x="10" s="1" nd="1"/>
        <i x="49" s="1" nd="1"/>
        <i x="51" s="1" nd="1"/>
        <i x="20" s="1" nd="1"/>
        <i x="33" s="1" nd="1"/>
        <i x="35" s="1" nd="1"/>
        <i x="15" s="1" nd="1"/>
        <i x="18" s="1" nd="1"/>
        <i x="34" s="1" nd="1"/>
        <i x="64" s="1" nd="1"/>
        <i x="29" s="1" nd="1"/>
        <i x="60" s="1" nd="1"/>
        <i x="37" s="1" nd="1"/>
        <i x="67" s="1" nd="1"/>
        <i x="52" s="1" nd="1"/>
        <i x="39" s="1" nd="1"/>
        <i x="30" s="1" nd="1"/>
        <i x="40" s="1" nd="1"/>
        <i x="46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_Method" xr10:uid="{4A5A9BF8-C1BB-42CE-830E-4258DC4A3CB0}" sourceName="Payment_Method">
  <pivotTables>
    <pivotTable tabId="2" name="PivotTable8"/>
    <pivotTable tabId="2" name="PivotTable7"/>
    <pivotTable tabId="2" name="PivotTable6"/>
    <pivotTable tabId="2" name="PivotTable5"/>
    <pivotTable tabId="2" name="PivotTable4"/>
    <pivotTable tabId="2" name="PivotTable2"/>
    <pivotTable tabId="2" name="PivotTable1"/>
    <pivotTable tabId="2" name="PivotTable3"/>
  </pivotTables>
  <data>
    <tabular pivotCacheId="253719444">
      <items count="6">
        <i x="2"/>
        <i x="3"/>
        <i x="1" s="1"/>
        <i x="0"/>
        <i x="4"/>
        <i x="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7BF4DFBD-BA42-4F7E-98ED-7630AFCDAF55}" cache="Slicer_Region" caption="Region" startItem="2" rowHeight="228600"/>
  <slicer name="Category" xr10:uid="{0CD618EF-AA79-4853-B66D-77060A8AF657}" cache="Slicer_Category" caption="Category" rowHeight="228600"/>
  <slicer name="Payment_Method" xr10:uid="{C4CB2DB9-26D1-4B55-9F2D-83C86684A6E2}" cache="Slicer_Payment_Method" caption="Payment_Method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4A8C57-AFA2-474A-A667-301F4AD256B5}" name="Table1" displayName="Table1" ref="A1:P200" totalsRowShown="0">
  <autoFilter ref="A1:P200" xr:uid="{DB4A8C57-AFA2-474A-A667-301F4AD256B5}"/>
  <tableColumns count="16">
    <tableColumn id="1" xr3:uid="{89B37E6A-4DC3-472A-8CFA-5BDA52734A09}" name="Order_ID"/>
    <tableColumn id="2" xr3:uid="{9D64A3C6-1201-4E2B-AC08-A16AEA331339}" name="Order_Date" dataDxfId="1"/>
    <tableColumn id="16" xr3:uid="{8A82EF5C-DD98-420F-8587-1FD12AA0C70B}" name="Months" dataDxfId="0"/>
    <tableColumn id="3" xr3:uid="{BC24A1B0-D4B7-4A31-93A0-AEB412C4D596}" name="Customer"/>
    <tableColumn id="4" xr3:uid="{BD96F487-DB7B-4EAC-B1B0-4E7D06D7A011}" name="Region"/>
    <tableColumn id="5" xr3:uid="{57C1E874-77DD-4E56-BCB7-CA2933FCE3FD}" name="Product"/>
    <tableColumn id="6" xr3:uid="{194DCDF9-6378-4267-B9D4-2B7B50E46E61}" name="Category"/>
    <tableColumn id="7" xr3:uid="{3C8B5728-9FA1-424B-AD51-2CC68D8A1826}" name="Quantity"/>
    <tableColumn id="8" xr3:uid="{6853398C-F7E8-411B-99D8-50E74A1309BF}" name="Unit_Price"/>
    <tableColumn id="9" xr3:uid="{A40815C9-9BFE-473A-9CCC-E595AC963075}" name="Discount"/>
    <tableColumn id="10" xr3:uid="{D8A8E300-ED27-46D7-A256-B2C24FC4BC33}" name="Payment_Method"/>
    <tableColumn id="11" xr3:uid="{552604A1-E446-46B7-A4D5-892260F3B079}" name="Salesperson"/>
    <tableColumn id="12" xr3:uid="{11CAB12E-B6E2-4C56-84E2-55833DFAC538}" name="Revenue"/>
    <tableColumn id="13" xr3:uid="{9445574C-9CE3-4E90-AD6A-0B705B19DD54}" name="Month"/>
    <tableColumn id="14" xr3:uid="{5C23C006-3799-4E18-970B-ED8B92DD790F}" name="Discount_Band"/>
    <tableColumn id="15" xr3:uid="{41F5D2F8-C238-4C67-A2BD-73DE5B1EBF92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CA596-60BA-4D5C-A34F-8E30824EC2DE}">
  <dimension ref="D1:P34"/>
  <sheetViews>
    <sheetView tabSelected="1" topLeftCell="C2" workbookViewId="0">
      <selection activeCell="H5" sqref="H5"/>
    </sheetView>
  </sheetViews>
  <sheetFormatPr defaultRowHeight="15"/>
  <cols>
    <col min="1" max="1" width="15.7109375" bestFit="1" customWidth="1"/>
    <col min="2" max="2" width="10.42578125" bestFit="1" customWidth="1"/>
    <col min="3" max="3" width="19.5703125" bestFit="1" customWidth="1"/>
    <col min="4" max="5" width="15.7109375" bestFit="1" customWidth="1"/>
    <col min="7" max="7" width="27.7109375" bestFit="1" customWidth="1"/>
    <col min="8" max="8" width="15.7109375" bestFit="1" customWidth="1"/>
    <col min="9" max="9" width="18.140625" bestFit="1" customWidth="1"/>
    <col min="12" max="12" width="20" bestFit="1" customWidth="1"/>
    <col min="13" max="13" width="11.42578125" bestFit="1" customWidth="1"/>
    <col min="15" max="15" width="22.140625" bestFit="1" customWidth="1"/>
    <col min="16" max="16" width="15.7109375" bestFit="1" customWidth="1"/>
  </cols>
  <sheetData>
    <row r="1" spans="4:16">
      <c r="D1" t="s">
        <v>0</v>
      </c>
      <c r="G1" t="s">
        <v>1</v>
      </c>
      <c r="I1" t="s">
        <v>2</v>
      </c>
      <c r="L1" s="3" t="s">
        <v>3</v>
      </c>
    </row>
    <row r="2" spans="4:16">
      <c r="D2" s="2">
        <v>1076001.8200000003</v>
      </c>
      <c r="G2" s="2">
        <v>35</v>
      </c>
      <c r="I2" s="2">
        <v>35</v>
      </c>
      <c r="L2" t="s">
        <v>0</v>
      </c>
      <c r="M2" s="2">
        <v>1076001.8200000003</v>
      </c>
    </row>
    <row r="3" spans="4:16">
      <c r="L3" t="s">
        <v>1</v>
      </c>
      <c r="M3" s="2">
        <v>35</v>
      </c>
    </row>
    <row r="4" spans="4:16">
      <c r="L4" s="4" t="s">
        <v>3</v>
      </c>
      <c r="M4" s="4">
        <f>M2/M3</f>
        <v>30742.909142857152</v>
      </c>
    </row>
    <row r="5" spans="4:16">
      <c r="D5" s="3" t="s">
        <v>4</v>
      </c>
      <c r="E5" t="s">
        <v>0</v>
      </c>
      <c r="G5" s="3" t="s">
        <v>5</v>
      </c>
      <c r="H5" t="s">
        <v>0</v>
      </c>
    </row>
    <row r="6" spans="4:16">
      <c r="D6" t="s">
        <v>6</v>
      </c>
      <c r="E6" s="2">
        <v>177098.94</v>
      </c>
      <c r="G6" t="s">
        <v>7</v>
      </c>
      <c r="H6" s="5">
        <v>0.1767047285841476</v>
      </c>
      <c r="L6" s="3" t="s">
        <v>8</v>
      </c>
      <c r="M6" t="s">
        <v>0</v>
      </c>
      <c r="O6" s="3" t="s">
        <v>9</v>
      </c>
      <c r="P6" t="s">
        <v>0</v>
      </c>
    </row>
    <row r="7" spans="4:16">
      <c r="D7" t="s">
        <v>10</v>
      </c>
      <c r="E7" s="2">
        <v>135823.4</v>
      </c>
      <c r="G7" t="s">
        <v>11</v>
      </c>
      <c r="H7" s="5">
        <v>0.16778802644648816</v>
      </c>
      <c r="L7" t="s">
        <v>12</v>
      </c>
      <c r="M7" s="5">
        <v>0.1268188747115688</v>
      </c>
      <c r="O7" t="s">
        <v>13</v>
      </c>
      <c r="P7" s="2">
        <v>88200</v>
      </c>
    </row>
    <row r="8" spans="4:16">
      <c r="D8" t="s">
        <v>14</v>
      </c>
      <c r="E8" s="2">
        <v>202314.40000000002</v>
      </c>
      <c r="G8" t="s">
        <v>15</v>
      </c>
      <c r="H8" s="5">
        <v>0.14414153265105648</v>
      </c>
      <c r="L8" t="s">
        <v>16</v>
      </c>
      <c r="M8" s="5">
        <v>0.12108157958320184</v>
      </c>
      <c r="O8" t="s">
        <v>17</v>
      </c>
      <c r="P8" s="2">
        <v>56908.800000000003</v>
      </c>
    </row>
    <row r="9" spans="4:16">
      <c r="D9" t="s">
        <v>18</v>
      </c>
      <c r="E9" s="2">
        <v>56509.06</v>
      </c>
      <c r="G9" t="s">
        <v>19</v>
      </c>
      <c r="H9" s="5">
        <v>0.12870922294064088</v>
      </c>
      <c r="L9" t="s">
        <v>20</v>
      </c>
      <c r="M9" s="5">
        <v>0.11554274136822558</v>
      </c>
      <c r="O9" t="s">
        <v>21</v>
      </c>
      <c r="P9" s="2">
        <v>41779.859999999993</v>
      </c>
    </row>
    <row r="10" spans="4:16">
      <c r="D10" t="s">
        <v>22</v>
      </c>
      <c r="E10" s="2">
        <v>124810.92</v>
      </c>
      <c r="G10" t="s">
        <v>23</v>
      </c>
      <c r="H10" s="5">
        <v>0.11085639589182687</v>
      </c>
      <c r="L10" t="s">
        <v>24</v>
      </c>
      <c r="M10" s="5">
        <v>7.5570708607165749E-2</v>
      </c>
      <c r="O10" t="s">
        <v>25</v>
      </c>
      <c r="P10" s="2">
        <v>95175</v>
      </c>
    </row>
    <row r="11" spans="4:16">
      <c r="D11" t="s">
        <v>26</v>
      </c>
      <c r="E11" s="2">
        <v>7866.54</v>
      </c>
      <c r="G11" t="s">
        <v>27</v>
      </c>
      <c r="H11" s="5">
        <v>0.10004780567551763</v>
      </c>
      <c r="L11" t="s">
        <v>28</v>
      </c>
      <c r="M11" s="5">
        <v>7.0812928550622739E-2</v>
      </c>
      <c r="O11" t="s">
        <v>29</v>
      </c>
      <c r="P11" s="2">
        <v>124324.2</v>
      </c>
    </row>
    <row r="12" spans="4:16">
      <c r="D12" t="s">
        <v>30</v>
      </c>
      <c r="E12" s="2">
        <v>70358.390000000014</v>
      </c>
      <c r="G12" t="s">
        <v>31</v>
      </c>
      <c r="H12" s="5">
        <v>9.5757938005072249E-2</v>
      </c>
      <c r="L12" t="s">
        <v>32</v>
      </c>
      <c r="M12" s="5">
        <v>6.9469287700647211E-2</v>
      </c>
      <c r="O12" t="s">
        <v>33</v>
      </c>
      <c r="P12" s="2">
        <v>63609.040000000008</v>
      </c>
    </row>
    <row r="13" spans="4:16">
      <c r="D13" t="s">
        <v>34</v>
      </c>
      <c r="E13" s="2">
        <v>17626.760000000002</v>
      </c>
      <c r="G13" t="s">
        <v>35</v>
      </c>
      <c r="H13" s="5">
        <v>5.4234980011950498E-2</v>
      </c>
      <c r="L13" t="s">
        <v>36</v>
      </c>
      <c r="M13" s="5">
        <v>6.5644275583102665E-2</v>
      </c>
      <c r="O13" t="s">
        <v>37</v>
      </c>
      <c r="P13" s="2">
        <v>42622.780000000013</v>
      </c>
    </row>
    <row r="14" spans="4:16">
      <c r="D14" t="s">
        <v>38</v>
      </c>
      <c r="E14" s="2">
        <v>105991.34000000001</v>
      </c>
      <c r="G14" t="s">
        <v>39</v>
      </c>
      <c r="H14" s="5">
        <v>1.2841018552230127E-2</v>
      </c>
      <c r="L14" t="s">
        <v>40</v>
      </c>
      <c r="M14" s="5">
        <v>5.2889129871546141E-2</v>
      </c>
      <c r="O14" t="s">
        <v>41</v>
      </c>
      <c r="P14" s="2">
        <v>81314.22</v>
      </c>
    </row>
    <row r="15" spans="4:16">
      <c r="D15" t="s">
        <v>42</v>
      </c>
      <c r="E15" s="2">
        <v>116384.26999999999</v>
      </c>
      <c r="G15" t="s">
        <v>43</v>
      </c>
      <c r="H15" s="5">
        <v>8.9183512410694176E-3</v>
      </c>
      <c r="L15" t="s">
        <v>44</v>
      </c>
      <c r="M15" s="5">
        <v>3.8828800494036336E-2</v>
      </c>
      <c r="O15" t="s">
        <v>45</v>
      </c>
      <c r="P15" s="2">
        <v>36034</v>
      </c>
    </row>
    <row r="16" spans="4:16">
      <c r="D16" t="s">
        <v>46</v>
      </c>
      <c r="E16" s="2">
        <v>13555.5</v>
      </c>
      <c r="G16" t="s">
        <v>47</v>
      </c>
      <c r="H16" s="5">
        <v>1</v>
      </c>
      <c r="L16" t="s">
        <v>48</v>
      </c>
      <c r="M16" s="5">
        <v>3.3187360222123055E-2</v>
      </c>
      <c r="O16" t="s">
        <v>49</v>
      </c>
      <c r="P16" s="2">
        <v>74749.08</v>
      </c>
    </row>
    <row r="17" spans="4:16">
      <c r="D17" t="s">
        <v>50</v>
      </c>
      <c r="E17" s="2">
        <v>47662.3</v>
      </c>
      <c r="L17" t="s">
        <v>51</v>
      </c>
      <c r="M17" s="5">
        <v>3.2886096791174581E-2</v>
      </c>
      <c r="O17" t="s">
        <v>47</v>
      </c>
      <c r="P17" s="2">
        <v>704716.98</v>
      </c>
    </row>
    <row r="18" spans="4:16">
      <c r="D18" t="s">
        <v>47</v>
      </c>
      <c r="E18" s="2">
        <v>1076001.82</v>
      </c>
      <c r="L18" t="s">
        <v>52</v>
      </c>
      <c r="M18" s="5">
        <v>2.8349013387356542E-2</v>
      </c>
    </row>
    <row r="19" spans="4:16">
      <c r="L19" t="s">
        <v>53</v>
      </c>
      <c r="M19" s="5">
        <v>1.9748665480881809E-2</v>
      </c>
    </row>
    <row r="20" spans="4:16">
      <c r="L20" t="s">
        <v>54</v>
      </c>
      <c r="M20" s="5">
        <v>1.9028833984686015E-2</v>
      </c>
    </row>
    <row r="21" spans="4:16">
      <c r="L21" t="s">
        <v>55</v>
      </c>
      <c r="M21" s="5">
        <v>1.7266290497538382E-2</v>
      </c>
    </row>
    <row r="22" spans="4:16">
      <c r="L22" t="s">
        <v>56</v>
      </c>
      <c r="M22" s="5">
        <v>1.6283095134541688E-2</v>
      </c>
    </row>
    <row r="23" spans="4:16">
      <c r="L23" t="s">
        <v>57</v>
      </c>
      <c r="M23" s="5">
        <v>1.5611795154770279E-2</v>
      </c>
    </row>
    <row r="24" spans="4:16">
      <c r="L24" t="s">
        <v>58</v>
      </c>
      <c r="M24" s="5">
        <v>1.5443747111877563E-2</v>
      </c>
    </row>
    <row r="25" spans="4:16">
      <c r="L25" t="s">
        <v>59</v>
      </c>
      <c r="M25" s="5">
        <v>1.259802701820709E-2</v>
      </c>
    </row>
    <row r="26" spans="4:16">
      <c r="L26" t="s">
        <v>60</v>
      </c>
      <c r="M26" s="5">
        <v>1.1373493773458488E-2</v>
      </c>
    </row>
    <row r="27" spans="4:16">
      <c r="L27" t="s">
        <v>61</v>
      </c>
      <c r="M27" s="5">
        <v>1.0759052433573023E-2</v>
      </c>
    </row>
    <row r="28" spans="4:16">
      <c r="L28" t="s">
        <v>62</v>
      </c>
      <c r="M28" s="5">
        <v>8.9625127214004174E-3</v>
      </c>
    </row>
    <row r="29" spans="4:16">
      <c r="L29" t="s">
        <v>63</v>
      </c>
      <c r="M29" s="5">
        <v>8.5102551220591818E-3</v>
      </c>
    </row>
    <row r="30" spans="4:16">
      <c r="L30" t="s">
        <v>64</v>
      </c>
      <c r="M30" s="5">
        <v>5.074452383361211E-3</v>
      </c>
    </row>
    <row r="31" spans="4:16">
      <c r="L31" t="s">
        <v>65</v>
      </c>
      <c r="M31" s="5">
        <v>4.8568691082697237E-3</v>
      </c>
    </row>
    <row r="32" spans="4:16">
      <c r="L32" t="s">
        <v>66</v>
      </c>
      <c r="M32" s="5">
        <v>2.7508131910037111E-3</v>
      </c>
    </row>
    <row r="33" spans="12:13">
      <c r="L33" t="s">
        <v>67</v>
      </c>
      <c r="M33" s="5">
        <v>6.5130001360034888E-4</v>
      </c>
    </row>
    <row r="34" spans="12:13">
      <c r="L34" t="s">
        <v>47</v>
      </c>
      <c r="M34" s="5">
        <v>1</v>
      </c>
    </row>
  </sheetData>
  <pageMargins left="0.7" right="0.7" top="0.75" bottom="0.75" header="0.3" footer="0.3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"/>
  <sheetViews>
    <sheetView workbookViewId="0">
      <selection activeCell="C4" sqref="C4"/>
    </sheetView>
  </sheetViews>
  <sheetFormatPr defaultRowHeight="15"/>
  <cols>
    <col min="1" max="1" width="11.5703125" bestFit="1" customWidth="1"/>
    <col min="2" max="2" width="19.5703125" bestFit="1" customWidth="1"/>
    <col min="3" max="3" width="19.5703125" customWidth="1"/>
    <col min="4" max="4" width="20.7109375" bestFit="1" customWidth="1"/>
    <col min="5" max="5" width="27.7109375" bestFit="1" customWidth="1"/>
    <col min="6" max="6" width="25" bestFit="1" customWidth="1"/>
    <col min="7" max="7" width="20.7109375" bestFit="1" customWidth="1"/>
    <col min="8" max="8" width="11.28515625" bestFit="1" customWidth="1"/>
    <col min="9" max="9" width="12.7109375" bestFit="1" customWidth="1"/>
    <col min="10" max="10" width="11.28515625" bestFit="1" customWidth="1"/>
    <col min="11" max="11" width="19.85546875" bestFit="1" customWidth="1"/>
    <col min="12" max="12" width="14.140625" bestFit="1" customWidth="1"/>
    <col min="13" max="13" width="11.140625" bestFit="1" customWidth="1"/>
    <col min="14" max="14" width="9.42578125" bestFit="1" customWidth="1"/>
    <col min="15" max="15" width="17" bestFit="1" customWidth="1"/>
    <col min="16" max="16" width="13.7109375" bestFit="1" customWidth="1"/>
  </cols>
  <sheetData>
    <row r="1" spans="1:17">
      <c r="A1" t="s">
        <v>68</v>
      </c>
      <c r="B1" t="s">
        <v>69</v>
      </c>
      <c r="C1" t="s">
        <v>4</v>
      </c>
      <c r="D1" t="s">
        <v>70</v>
      </c>
      <c r="E1" t="s">
        <v>5</v>
      </c>
      <c r="F1" t="s">
        <v>9</v>
      </c>
      <c r="G1" t="s">
        <v>8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</row>
    <row r="2" spans="1:17">
      <c r="A2">
        <v>10001</v>
      </c>
      <c r="B2" s="1">
        <v>46156</v>
      </c>
      <c r="C2" s="1" t="s">
        <v>22</v>
      </c>
      <c r="D2" t="s">
        <v>80</v>
      </c>
      <c r="E2" t="s">
        <v>81</v>
      </c>
      <c r="F2" t="s">
        <v>82</v>
      </c>
      <c r="G2" t="s">
        <v>12</v>
      </c>
      <c r="H2">
        <v>48</v>
      </c>
      <c r="I2">
        <v>1033</v>
      </c>
      <c r="J2">
        <v>0.39</v>
      </c>
      <c r="K2" t="s">
        <v>83</v>
      </c>
      <c r="L2" t="s">
        <v>84</v>
      </c>
      <c r="M2">
        <v>30246.240000000002</v>
      </c>
      <c r="N2" t="s">
        <v>85</v>
      </c>
      <c r="O2" t="s">
        <v>86</v>
      </c>
      <c r="P2" t="s">
        <v>87</v>
      </c>
      <c r="Q2">
        <f>SUM(Table1[Revenue])</f>
        <v>7865271.0199999977</v>
      </c>
    </row>
    <row r="3" spans="1:17">
      <c r="A3">
        <v>10002</v>
      </c>
      <c r="B3" s="1">
        <v>46199</v>
      </c>
      <c r="C3" s="1" t="s">
        <v>26</v>
      </c>
      <c r="D3" t="s">
        <v>88</v>
      </c>
      <c r="E3" t="s">
        <v>15</v>
      </c>
      <c r="F3" t="s">
        <v>89</v>
      </c>
      <c r="G3" t="s">
        <v>12</v>
      </c>
      <c r="H3">
        <v>6</v>
      </c>
      <c r="I3">
        <v>1507</v>
      </c>
      <c r="J3">
        <v>0.13</v>
      </c>
      <c r="K3" t="s">
        <v>90</v>
      </c>
      <c r="L3" t="s">
        <v>91</v>
      </c>
      <c r="M3">
        <v>7866.54</v>
      </c>
      <c r="N3" t="s">
        <v>92</v>
      </c>
      <c r="O3" t="s">
        <v>93</v>
      </c>
    </row>
    <row r="4" spans="1:17">
      <c r="A4">
        <v>10003</v>
      </c>
      <c r="B4" s="1">
        <v>46094</v>
      </c>
      <c r="C4" s="1" t="s">
        <v>14</v>
      </c>
      <c r="D4" t="s">
        <v>94</v>
      </c>
      <c r="E4" t="s">
        <v>95</v>
      </c>
      <c r="F4" t="s">
        <v>96</v>
      </c>
      <c r="G4" t="s">
        <v>12</v>
      </c>
      <c r="H4">
        <v>83</v>
      </c>
      <c r="I4">
        <v>1917</v>
      </c>
      <c r="J4">
        <v>0.26</v>
      </c>
      <c r="K4" t="s">
        <v>97</v>
      </c>
      <c r="L4" t="s">
        <v>98</v>
      </c>
      <c r="M4">
        <v>117742.14</v>
      </c>
      <c r="N4" t="s">
        <v>99</v>
      </c>
      <c r="O4" t="s">
        <v>86</v>
      </c>
    </row>
    <row r="5" spans="1:17">
      <c r="A5">
        <v>10004</v>
      </c>
      <c r="B5" s="1">
        <v>46107</v>
      </c>
      <c r="C5" s="1" t="s">
        <v>14</v>
      </c>
      <c r="D5" t="s">
        <v>100</v>
      </c>
      <c r="E5" t="s">
        <v>101</v>
      </c>
      <c r="F5" t="s">
        <v>25</v>
      </c>
      <c r="G5" t="s">
        <v>12</v>
      </c>
      <c r="H5">
        <v>75</v>
      </c>
      <c r="I5">
        <v>1692</v>
      </c>
      <c r="J5">
        <v>0.25</v>
      </c>
      <c r="K5" t="s">
        <v>90</v>
      </c>
      <c r="L5" t="s">
        <v>102</v>
      </c>
      <c r="M5">
        <v>95175</v>
      </c>
      <c r="N5" t="s">
        <v>99</v>
      </c>
      <c r="O5" t="s">
        <v>86</v>
      </c>
    </row>
    <row r="6" spans="1:17">
      <c r="A6">
        <v>10005</v>
      </c>
      <c r="B6" s="1">
        <v>46043</v>
      </c>
      <c r="C6" s="1" t="s">
        <v>6</v>
      </c>
      <c r="D6" t="s">
        <v>103</v>
      </c>
      <c r="E6" t="s">
        <v>104</v>
      </c>
      <c r="F6" t="s">
        <v>105</v>
      </c>
      <c r="G6" t="s">
        <v>12</v>
      </c>
      <c r="H6">
        <v>61</v>
      </c>
      <c r="I6">
        <v>660</v>
      </c>
      <c r="J6">
        <v>0.17</v>
      </c>
      <c r="K6" t="s">
        <v>90</v>
      </c>
      <c r="L6" t="s">
        <v>106</v>
      </c>
      <c r="M6">
        <v>33415.800000000003</v>
      </c>
      <c r="N6" t="s">
        <v>107</v>
      </c>
      <c r="O6" t="s">
        <v>93</v>
      </c>
    </row>
    <row r="7" spans="1:17">
      <c r="A7">
        <v>10006</v>
      </c>
      <c r="B7" s="1">
        <v>46144</v>
      </c>
      <c r="C7" s="1" t="s">
        <v>22</v>
      </c>
      <c r="D7" t="s">
        <v>108</v>
      </c>
      <c r="E7" t="s">
        <v>109</v>
      </c>
      <c r="F7" t="s">
        <v>110</v>
      </c>
      <c r="G7" t="s">
        <v>111</v>
      </c>
      <c r="H7">
        <v>50</v>
      </c>
      <c r="I7">
        <v>443</v>
      </c>
      <c r="J7">
        <v>0.2</v>
      </c>
      <c r="K7" t="s">
        <v>83</v>
      </c>
      <c r="L7" t="s">
        <v>112</v>
      </c>
      <c r="M7">
        <v>17720</v>
      </c>
      <c r="N7" t="s">
        <v>85</v>
      </c>
      <c r="O7" t="s">
        <v>93</v>
      </c>
    </row>
    <row r="8" spans="1:17">
      <c r="A8">
        <v>10007</v>
      </c>
      <c r="B8" s="1">
        <v>46082</v>
      </c>
      <c r="C8" s="1" t="s">
        <v>14</v>
      </c>
      <c r="D8" t="s">
        <v>113</v>
      </c>
      <c r="E8" t="s">
        <v>114</v>
      </c>
      <c r="F8" t="s">
        <v>115</v>
      </c>
      <c r="G8" t="s">
        <v>55</v>
      </c>
      <c r="H8">
        <v>49</v>
      </c>
      <c r="I8">
        <v>1148</v>
      </c>
      <c r="J8">
        <v>0.39</v>
      </c>
      <c r="K8" t="s">
        <v>83</v>
      </c>
      <c r="L8" t="s">
        <v>116</v>
      </c>
      <c r="M8">
        <v>34313.72</v>
      </c>
      <c r="N8" t="s">
        <v>99</v>
      </c>
      <c r="O8" t="s">
        <v>86</v>
      </c>
    </row>
    <row r="9" spans="1:17">
      <c r="A9">
        <v>10008</v>
      </c>
      <c r="B9" s="1">
        <v>46196</v>
      </c>
      <c r="C9" s="1" t="s">
        <v>26</v>
      </c>
      <c r="D9" t="s">
        <v>117</v>
      </c>
      <c r="E9" t="s">
        <v>118</v>
      </c>
      <c r="F9" t="s">
        <v>119</v>
      </c>
      <c r="G9" t="s">
        <v>111</v>
      </c>
      <c r="H9">
        <v>89</v>
      </c>
      <c r="I9">
        <v>180</v>
      </c>
      <c r="J9">
        <v>0.37</v>
      </c>
      <c r="K9" t="s">
        <v>97</v>
      </c>
      <c r="L9" t="s">
        <v>120</v>
      </c>
      <c r="M9">
        <v>10092.6</v>
      </c>
      <c r="N9" t="s">
        <v>92</v>
      </c>
      <c r="O9" t="s">
        <v>86</v>
      </c>
    </row>
    <row r="10" spans="1:17">
      <c r="A10">
        <v>10009</v>
      </c>
      <c r="B10" s="1">
        <v>46121</v>
      </c>
      <c r="C10" s="1" t="s">
        <v>18</v>
      </c>
      <c r="D10" t="s">
        <v>121</v>
      </c>
      <c r="E10" t="s">
        <v>122</v>
      </c>
      <c r="F10" t="s">
        <v>123</v>
      </c>
      <c r="G10" t="s">
        <v>24</v>
      </c>
      <c r="H10">
        <v>54</v>
      </c>
      <c r="I10">
        <v>799</v>
      </c>
      <c r="J10">
        <v>0.34</v>
      </c>
      <c r="K10" t="s">
        <v>97</v>
      </c>
      <c r="L10" t="s">
        <v>124</v>
      </c>
      <c r="M10">
        <v>28476.36</v>
      </c>
      <c r="N10" t="s">
        <v>125</v>
      </c>
      <c r="O10" t="s">
        <v>86</v>
      </c>
    </row>
    <row r="11" spans="1:17">
      <c r="A11">
        <v>10010</v>
      </c>
      <c r="B11" s="1">
        <v>46037</v>
      </c>
      <c r="C11" s="1" t="s">
        <v>6</v>
      </c>
      <c r="D11" t="s">
        <v>126</v>
      </c>
      <c r="E11" t="s">
        <v>127</v>
      </c>
      <c r="F11" t="s">
        <v>41</v>
      </c>
      <c r="G11" t="s">
        <v>24</v>
      </c>
      <c r="H11">
        <v>78</v>
      </c>
      <c r="I11">
        <v>1709</v>
      </c>
      <c r="J11">
        <v>0.39</v>
      </c>
      <c r="K11" t="s">
        <v>90</v>
      </c>
      <c r="L11" t="s">
        <v>128</v>
      </c>
      <c r="M11">
        <v>81314.22</v>
      </c>
      <c r="N11" t="s">
        <v>107</v>
      </c>
      <c r="O11" t="s">
        <v>86</v>
      </c>
    </row>
    <row r="12" spans="1:17">
      <c r="A12">
        <v>10011</v>
      </c>
      <c r="B12" s="1">
        <v>46151</v>
      </c>
      <c r="C12" s="1" t="s">
        <v>22</v>
      </c>
      <c r="D12" t="s">
        <v>129</v>
      </c>
      <c r="E12" t="s">
        <v>130</v>
      </c>
      <c r="F12" t="s">
        <v>131</v>
      </c>
      <c r="G12" t="s">
        <v>132</v>
      </c>
      <c r="H12">
        <v>39</v>
      </c>
      <c r="I12">
        <v>776</v>
      </c>
      <c r="J12">
        <v>0.26</v>
      </c>
      <c r="K12" t="s">
        <v>83</v>
      </c>
      <c r="L12" t="s">
        <v>133</v>
      </c>
      <c r="M12">
        <v>22395.360000000001</v>
      </c>
      <c r="N12" t="s">
        <v>85</v>
      </c>
      <c r="O12" t="s">
        <v>86</v>
      </c>
    </row>
    <row r="13" spans="1:17">
      <c r="A13">
        <v>10012</v>
      </c>
      <c r="B13" s="1">
        <v>46284</v>
      </c>
      <c r="C13" s="1" t="s">
        <v>38</v>
      </c>
      <c r="D13" t="s">
        <v>134</v>
      </c>
      <c r="E13" t="s">
        <v>135</v>
      </c>
      <c r="F13" t="s">
        <v>136</v>
      </c>
      <c r="G13" t="s">
        <v>55</v>
      </c>
      <c r="H13">
        <v>68</v>
      </c>
      <c r="I13">
        <v>719</v>
      </c>
      <c r="J13">
        <v>0.48</v>
      </c>
      <c r="K13" t="s">
        <v>97</v>
      </c>
      <c r="L13" t="s">
        <v>137</v>
      </c>
      <c r="M13">
        <v>25423.84</v>
      </c>
      <c r="N13" t="s">
        <v>138</v>
      </c>
      <c r="O13" t="s">
        <v>139</v>
      </c>
    </row>
    <row r="14" spans="1:17">
      <c r="A14">
        <v>10013</v>
      </c>
      <c r="B14" s="1">
        <v>46237</v>
      </c>
      <c r="C14" s="1" t="s">
        <v>34</v>
      </c>
      <c r="D14" t="s">
        <v>140</v>
      </c>
      <c r="E14" t="s">
        <v>141</v>
      </c>
      <c r="F14" t="s">
        <v>142</v>
      </c>
      <c r="G14" t="s">
        <v>132</v>
      </c>
      <c r="H14">
        <v>64</v>
      </c>
      <c r="I14">
        <v>1168</v>
      </c>
      <c r="J14">
        <v>0.12</v>
      </c>
      <c r="K14" t="s">
        <v>83</v>
      </c>
      <c r="L14" t="s">
        <v>143</v>
      </c>
      <c r="M14">
        <v>65781.759999999995</v>
      </c>
      <c r="N14" t="s">
        <v>144</v>
      </c>
      <c r="O14" t="s">
        <v>93</v>
      </c>
    </row>
    <row r="15" spans="1:17">
      <c r="A15">
        <v>10014</v>
      </c>
      <c r="B15" s="1">
        <v>46336</v>
      </c>
      <c r="C15" s="1" t="s">
        <v>46</v>
      </c>
      <c r="D15" t="s">
        <v>145</v>
      </c>
      <c r="E15" t="s">
        <v>146</v>
      </c>
      <c r="F15" t="s">
        <v>147</v>
      </c>
      <c r="G15" t="s">
        <v>132</v>
      </c>
      <c r="H15">
        <v>75</v>
      </c>
      <c r="I15">
        <v>1683</v>
      </c>
      <c r="J15">
        <v>0.28000000000000003</v>
      </c>
      <c r="K15" t="s">
        <v>97</v>
      </c>
      <c r="L15" t="s">
        <v>148</v>
      </c>
      <c r="M15">
        <v>90882</v>
      </c>
      <c r="N15" t="s">
        <v>149</v>
      </c>
      <c r="O15" t="s">
        <v>86</v>
      </c>
    </row>
    <row r="16" spans="1:17">
      <c r="A16">
        <v>10015</v>
      </c>
      <c r="B16" s="1">
        <v>46278</v>
      </c>
      <c r="C16" s="1" t="s">
        <v>38</v>
      </c>
      <c r="D16" t="s">
        <v>150</v>
      </c>
      <c r="E16" t="s">
        <v>151</v>
      </c>
      <c r="F16" t="s">
        <v>152</v>
      </c>
      <c r="G16" t="s">
        <v>132</v>
      </c>
      <c r="H16">
        <v>50</v>
      </c>
      <c r="I16">
        <v>693</v>
      </c>
      <c r="J16">
        <v>0.24</v>
      </c>
      <c r="K16" t="s">
        <v>83</v>
      </c>
      <c r="L16" t="s">
        <v>153</v>
      </c>
      <c r="M16">
        <v>26334</v>
      </c>
      <c r="N16" t="s">
        <v>138</v>
      </c>
      <c r="O16" t="s">
        <v>86</v>
      </c>
    </row>
    <row r="17" spans="1:15">
      <c r="A17">
        <v>10016</v>
      </c>
      <c r="B17" s="1">
        <v>46261</v>
      </c>
      <c r="C17" s="1" t="s">
        <v>34</v>
      </c>
      <c r="D17" t="s">
        <v>154</v>
      </c>
      <c r="E17" t="s">
        <v>155</v>
      </c>
      <c r="F17" t="s">
        <v>156</v>
      </c>
      <c r="G17" t="s">
        <v>56</v>
      </c>
      <c r="H17">
        <v>54</v>
      </c>
      <c r="I17">
        <v>1471</v>
      </c>
      <c r="J17">
        <v>0.41</v>
      </c>
      <c r="K17" t="s">
        <v>97</v>
      </c>
      <c r="L17" t="s">
        <v>157</v>
      </c>
      <c r="M17">
        <v>46866.06</v>
      </c>
      <c r="N17" t="s">
        <v>144</v>
      </c>
      <c r="O17" t="s">
        <v>139</v>
      </c>
    </row>
    <row r="18" spans="1:15">
      <c r="A18">
        <v>10017</v>
      </c>
      <c r="B18" s="1">
        <v>46088</v>
      </c>
      <c r="C18" s="1" t="s">
        <v>14</v>
      </c>
      <c r="D18" t="s">
        <v>158</v>
      </c>
      <c r="E18" t="s">
        <v>159</v>
      </c>
      <c r="F18" t="s">
        <v>160</v>
      </c>
      <c r="G18" t="s">
        <v>56</v>
      </c>
      <c r="H18">
        <v>58</v>
      </c>
      <c r="I18">
        <v>472</v>
      </c>
      <c r="J18">
        <v>0.36</v>
      </c>
      <c r="K18" t="s">
        <v>90</v>
      </c>
      <c r="L18" t="s">
        <v>161</v>
      </c>
      <c r="M18">
        <v>17520.64</v>
      </c>
      <c r="N18" t="s">
        <v>99</v>
      </c>
      <c r="O18" t="s">
        <v>86</v>
      </c>
    </row>
    <row r="19" spans="1:15">
      <c r="A19">
        <v>10018</v>
      </c>
      <c r="B19" s="1">
        <v>46106</v>
      </c>
      <c r="C19" s="1" t="s">
        <v>14</v>
      </c>
      <c r="D19" t="s">
        <v>162</v>
      </c>
      <c r="E19" t="s">
        <v>163</v>
      </c>
      <c r="F19" t="s">
        <v>164</v>
      </c>
      <c r="G19" t="s">
        <v>165</v>
      </c>
      <c r="H19">
        <v>40</v>
      </c>
      <c r="I19">
        <v>1929</v>
      </c>
      <c r="J19">
        <v>0.13</v>
      </c>
      <c r="K19" t="s">
        <v>83</v>
      </c>
      <c r="L19" t="s">
        <v>166</v>
      </c>
      <c r="M19">
        <v>67129.2</v>
      </c>
      <c r="N19" t="s">
        <v>99</v>
      </c>
      <c r="O19" t="s">
        <v>93</v>
      </c>
    </row>
    <row r="20" spans="1:15">
      <c r="A20">
        <v>10019</v>
      </c>
      <c r="B20" s="1">
        <v>46107</v>
      </c>
      <c r="C20" s="1" t="s">
        <v>14</v>
      </c>
      <c r="D20" t="s">
        <v>167</v>
      </c>
      <c r="E20" t="s">
        <v>168</v>
      </c>
      <c r="F20" t="s">
        <v>169</v>
      </c>
      <c r="G20" t="s">
        <v>165</v>
      </c>
      <c r="H20">
        <v>53</v>
      </c>
      <c r="I20">
        <v>234</v>
      </c>
      <c r="J20">
        <v>0.11</v>
      </c>
      <c r="K20" t="s">
        <v>83</v>
      </c>
      <c r="L20" t="s">
        <v>170</v>
      </c>
      <c r="M20">
        <v>11037.78</v>
      </c>
      <c r="N20" t="s">
        <v>99</v>
      </c>
      <c r="O20" t="s">
        <v>93</v>
      </c>
    </row>
    <row r="21" spans="1:15">
      <c r="A21">
        <v>10020</v>
      </c>
      <c r="B21" s="1">
        <v>46311</v>
      </c>
      <c r="C21" s="1" t="s">
        <v>42</v>
      </c>
      <c r="D21" t="s">
        <v>171</v>
      </c>
      <c r="E21" t="s">
        <v>172</v>
      </c>
      <c r="F21" t="s">
        <v>173</v>
      </c>
      <c r="G21" t="s">
        <v>174</v>
      </c>
      <c r="H21">
        <v>16</v>
      </c>
      <c r="I21">
        <v>308</v>
      </c>
      <c r="J21">
        <v>0.15</v>
      </c>
      <c r="K21" t="s">
        <v>175</v>
      </c>
      <c r="L21" t="s">
        <v>176</v>
      </c>
      <c r="M21">
        <v>4188.8</v>
      </c>
      <c r="N21" t="s">
        <v>177</v>
      </c>
      <c r="O21" t="s">
        <v>93</v>
      </c>
    </row>
    <row r="22" spans="1:15">
      <c r="A22">
        <v>10021</v>
      </c>
      <c r="B22" s="1">
        <v>46286</v>
      </c>
      <c r="C22" s="1" t="s">
        <v>38</v>
      </c>
      <c r="D22" t="s">
        <v>178</v>
      </c>
      <c r="E22" t="s">
        <v>179</v>
      </c>
      <c r="F22" t="s">
        <v>180</v>
      </c>
      <c r="G22" t="s">
        <v>58</v>
      </c>
      <c r="H22">
        <v>55</v>
      </c>
      <c r="I22">
        <v>783</v>
      </c>
      <c r="J22">
        <v>0.19</v>
      </c>
      <c r="K22" t="s">
        <v>181</v>
      </c>
      <c r="L22" t="s">
        <v>182</v>
      </c>
      <c r="M22">
        <v>34882.65</v>
      </c>
      <c r="N22" t="s">
        <v>138</v>
      </c>
      <c r="O22" t="s">
        <v>93</v>
      </c>
    </row>
    <row r="23" spans="1:15">
      <c r="A23">
        <v>10022</v>
      </c>
      <c r="B23" s="1">
        <v>46236</v>
      </c>
      <c r="C23" s="1" t="s">
        <v>34</v>
      </c>
      <c r="D23" t="s">
        <v>183</v>
      </c>
      <c r="E23" t="s">
        <v>184</v>
      </c>
      <c r="F23" t="s">
        <v>185</v>
      </c>
      <c r="G23" t="s">
        <v>58</v>
      </c>
      <c r="H23">
        <v>76</v>
      </c>
      <c r="I23">
        <v>649</v>
      </c>
      <c r="J23">
        <v>0.38</v>
      </c>
      <c r="K23" t="s">
        <v>97</v>
      </c>
      <c r="L23" t="s">
        <v>186</v>
      </c>
      <c r="M23">
        <v>30580.880000000001</v>
      </c>
      <c r="N23" t="s">
        <v>144</v>
      </c>
      <c r="O23" t="s">
        <v>86</v>
      </c>
    </row>
    <row r="24" spans="1:15">
      <c r="A24">
        <v>10023</v>
      </c>
      <c r="B24" s="1">
        <v>46315</v>
      </c>
      <c r="C24" s="1" t="s">
        <v>42</v>
      </c>
      <c r="D24" t="s">
        <v>187</v>
      </c>
      <c r="E24" t="s">
        <v>188</v>
      </c>
      <c r="F24" t="s">
        <v>189</v>
      </c>
      <c r="G24" t="s">
        <v>58</v>
      </c>
      <c r="H24">
        <v>50</v>
      </c>
      <c r="I24">
        <v>391</v>
      </c>
      <c r="J24">
        <v>0.15</v>
      </c>
      <c r="K24" t="s">
        <v>90</v>
      </c>
      <c r="L24" t="s">
        <v>190</v>
      </c>
      <c r="M24">
        <v>16617.5</v>
      </c>
      <c r="N24" t="s">
        <v>177</v>
      </c>
      <c r="O24" t="s">
        <v>93</v>
      </c>
    </row>
    <row r="25" spans="1:15">
      <c r="A25">
        <v>10024</v>
      </c>
      <c r="B25" s="1">
        <v>46346</v>
      </c>
      <c r="C25" s="1" t="s">
        <v>46</v>
      </c>
      <c r="D25" t="s">
        <v>191</v>
      </c>
      <c r="E25" t="s">
        <v>192</v>
      </c>
      <c r="F25" t="s">
        <v>193</v>
      </c>
      <c r="G25" t="s">
        <v>55</v>
      </c>
      <c r="H25">
        <v>98</v>
      </c>
      <c r="I25">
        <v>1468</v>
      </c>
      <c r="J25">
        <v>0.47</v>
      </c>
      <c r="K25" t="s">
        <v>175</v>
      </c>
      <c r="L25" t="s">
        <v>194</v>
      </c>
      <c r="M25">
        <v>76247.92</v>
      </c>
      <c r="N25" t="s">
        <v>149</v>
      </c>
      <c r="O25" t="s">
        <v>139</v>
      </c>
    </row>
    <row r="26" spans="1:15">
      <c r="A26">
        <v>10025</v>
      </c>
      <c r="B26" s="1">
        <v>46372</v>
      </c>
      <c r="C26" s="1" t="s">
        <v>50</v>
      </c>
      <c r="D26" t="s">
        <v>195</v>
      </c>
      <c r="E26" t="s">
        <v>196</v>
      </c>
      <c r="F26" t="s">
        <v>197</v>
      </c>
      <c r="G26" t="s">
        <v>59</v>
      </c>
      <c r="H26">
        <v>75</v>
      </c>
      <c r="I26">
        <v>360</v>
      </c>
      <c r="J26">
        <v>0.32</v>
      </c>
      <c r="K26" t="s">
        <v>181</v>
      </c>
      <c r="L26" t="s">
        <v>198</v>
      </c>
      <c r="M26">
        <v>18360</v>
      </c>
      <c r="N26" t="s">
        <v>199</v>
      </c>
      <c r="O26" t="s">
        <v>86</v>
      </c>
    </row>
    <row r="27" spans="1:15">
      <c r="A27">
        <v>10026</v>
      </c>
      <c r="B27" s="1">
        <v>46338</v>
      </c>
      <c r="C27" s="1" t="s">
        <v>46</v>
      </c>
      <c r="D27" t="s">
        <v>200</v>
      </c>
      <c r="E27" t="s">
        <v>201</v>
      </c>
      <c r="F27" t="s">
        <v>202</v>
      </c>
      <c r="G27" t="s">
        <v>59</v>
      </c>
      <c r="H27">
        <v>15</v>
      </c>
      <c r="I27">
        <v>1291</v>
      </c>
      <c r="J27">
        <v>0.3</v>
      </c>
      <c r="K27" t="s">
        <v>90</v>
      </c>
      <c r="L27" t="s">
        <v>203</v>
      </c>
      <c r="M27">
        <v>13555.5</v>
      </c>
      <c r="N27" t="s">
        <v>149</v>
      </c>
      <c r="O27" t="s">
        <v>86</v>
      </c>
    </row>
    <row r="28" spans="1:15">
      <c r="A28">
        <v>10027</v>
      </c>
      <c r="B28" s="1">
        <v>46226</v>
      </c>
      <c r="C28" s="1" t="s">
        <v>30</v>
      </c>
      <c r="D28" t="s">
        <v>204</v>
      </c>
      <c r="E28" t="s">
        <v>122</v>
      </c>
      <c r="F28" t="s">
        <v>205</v>
      </c>
      <c r="G28" t="s">
        <v>206</v>
      </c>
      <c r="H28">
        <v>35</v>
      </c>
      <c r="I28">
        <v>461</v>
      </c>
      <c r="J28">
        <v>0.23</v>
      </c>
      <c r="K28" t="s">
        <v>83</v>
      </c>
      <c r="L28" t="s">
        <v>207</v>
      </c>
      <c r="M28">
        <v>12423.95</v>
      </c>
      <c r="N28" t="s">
        <v>208</v>
      </c>
      <c r="O28" t="s">
        <v>86</v>
      </c>
    </row>
    <row r="29" spans="1:15">
      <c r="A29">
        <v>10028</v>
      </c>
      <c r="B29" s="1">
        <v>46176</v>
      </c>
      <c r="C29" s="1" t="s">
        <v>26</v>
      </c>
      <c r="D29" t="s">
        <v>209</v>
      </c>
      <c r="E29" t="s">
        <v>210</v>
      </c>
      <c r="F29" t="s">
        <v>211</v>
      </c>
      <c r="G29" t="s">
        <v>111</v>
      </c>
      <c r="H29">
        <v>99</v>
      </c>
      <c r="I29">
        <v>730</v>
      </c>
      <c r="J29">
        <v>0.13</v>
      </c>
      <c r="K29" t="s">
        <v>175</v>
      </c>
      <c r="L29" t="s">
        <v>212</v>
      </c>
      <c r="M29">
        <v>62874.9</v>
      </c>
      <c r="N29" t="s">
        <v>92</v>
      </c>
      <c r="O29" t="s">
        <v>93</v>
      </c>
    </row>
    <row r="30" spans="1:15">
      <c r="A30">
        <v>10029</v>
      </c>
      <c r="B30" s="1">
        <v>46218</v>
      </c>
      <c r="C30" s="1" t="s">
        <v>30</v>
      </c>
      <c r="D30" t="s">
        <v>213</v>
      </c>
      <c r="E30" t="s">
        <v>214</v>
      </c>
      <c r="F30" t="s">
        <v>215</v>
      </c>
      <c r="G30" t="s">
        <v>55</v>
      </c>
      <c r="H30">
        <v>32</v>
      </c>
      <c r="I30">
        <v>754</v>
      </c>
      <c r="J30">
        <v>0.23</v>
      </c>
      <c r="K30" t="s">
        <v>90</v>
      </c>
      <c r="L30" t="s">
        <v>216</v>
      </c>
      <c r="M30">
        <v>18578.560000000001</v>
      </c>
      <c r="N30" t="s">
        <v>208</v>
      </c>
      <c r="O30" t="s">
        <v>86</v>
      </c>
    </row>
    <row r="31" spans="1:15">
      <c r="A31">
        <v>10030</v>
      </c>
      <c r="B31" s="1">
        <v>46260</v>
      </c>
      <c r="C31" s="1" t="s">
        <v>34</v>
      </c>
      <c r="D31" t="s">
        <v>217</v>
      </c>
      <c r="E31" t="s">
        <v>218</v>
      </c>
      <c r="F31" t="s">
        <v>219</v>
      </c>
      <c r="G31" t="s">
        <v>62</v>
      </c>
      <c r="H31">
        <v>28</v>
      </c>
      <c r="I31">
        <v>1678</v>
      </c>
      <c r="J31">
        <v>0.42</v>
      </c>
      <c r="K31" t="s">
        <v>83</v>
      </c>
      <c r="L31" t="s">
        <v>220</v>
      </c>
      <c r="M31">
        <v>27250.720000000001</v>
      </c>
      <c r="N31" t="s">
        <v>144</v>
      </c>
      <c r="O31" t="s">
        <v>139</v>
      </c>
    </row>
    <row r="32" spans="1:15">
      <c r="A32">
        <v>10031</v>
      </c>
      <c r="B32" s="1">
        <v>46094</v>
      </c>
      <c r="C32" s="1" t="s">
        <v>14</v>
      </c>
      <c r="D32" t="s">
        <v>221</v>
      </c>
      <c r="E32" t="s">
        <v>7</v>
      </c>
      <c r="F32" t="s">
        <v>222</v>
      </c>
      <c r="G32" t="s">
        <v>62</v>
      </c>
      <c r="H32">
        <v>36</v>
      </c>
      <c r="I32">
        <v>362</v>
      </c>
      <c r="J32">
        <v>0.26</v>
      </c>
      <c r="K32" t="s">
        <v>90</v>
      </c>
      <c r="L32" t="s">
        <v>153</v>
      </c>
      <c r="M32">
        <v>9643.68</v>
      </c>
      <c r="N32" t="s">
        <v>99</v>
      </c>
      <c r="O32" t="s">
        <v>86</v>
      </c>
    </row>
    <row r="33" spans="1:15">
      <c r="A33">
        <v>10032</v>
      </c>
      <c r="B33" s="1">
        <v>46162</v>
      </c>
      <c r="C33" s="1" t="s">
        <v>22</v>
      </c>
      <c r="D33" t="s">
        <v>223</v>
      </c>
      <c r="E33" t="s">
        <v>224</v>
      </c>
      <c r="F33" t="s">
        <v>225</v>
      </c>
      <c r="G33" t="s">
        <v>62</v>
      </c>
      <c r="H33">
        <v>45</v>
      </c>
      <c r="I33">
        <v>185</v>
      </c>
      <c r="J33">
        <v>0.28000000000000003</v>
      </c>
      <c r="K33" t="s">
        <v>181</v>
      </c>
      <c r="L33" t="s">
        <v>226</v>
      </c>
      <c r="M33">
        <v>5994</v>
      </c>
      <c r="N33" t="s">
        <v>85</v>
      </c>
      <c r="O33" t="s">
        <v>86</v>
      </c>
    </row>
    <row r="34" spans="1:15">
      <c r="A34">
        <v>10033</v>
      </c>
      <c r="B34" s="1">
        <v>46214</v>
      </c>
      <c r="C34" s="1" t="s">
        <v>30</v>
      </c>
      <c r="D34" t="s">
        <v>227</v>
      </c>
      <c r="E34" t="s">
        <v>228</v>
      </c>
      <c r="F34" t="s">
        <v>229</v>
      </c>
      <c r="G34" t="s">
        <v>62</v>
      </c>
      <c r="H34">
        <v>15</v>
      </c>
      <c r="I34">
        <v>1756</v>
      </c>
      <c r="J34">
        <v>0.11</v>
      </c>
      <c r="K34" t="s">
        <v>97</v>
      </c>
      <c r="L34" t="s">
        <v>230</v>
      </c>
      <c r="M34">
        <v>23442.6</v>
      </c>
      <c r="N34" t="s">
        <v>208</v>
      </c>
      <c r="O34" t="s">
        <v>93</v>
      </c>
    </row>
    <row r="35" spans="1:15">
      <c r="A35">
        <v>10034</v>
      </c>
      <c r="B35" s="1">
        <v>46341</v>
      </c>
      <c r="C35" s="1" t="s">
        <v>46</v>
      </c>
      <c r="D35" t="s">
        <v>231</v>
      </c>
      <c r="E35" t="s">
        <v>232</v>
      </c>
      <c r="F35" t="s">
        <v>233</v>
      </c>
      <c r="G35" t="s">
        <v>234</v>
      </c>
      <c r="H35">
        <v>26</v>
      </c>
      <c r="I35">
        <v>1746</v>
      </c>
      <c r="J35">
        <v>0.32</v>
      </c>
      <c r="K35" t="s">
        <v>181</v>
      </c>
      <c r="L35" t="s">
        <v>235</v>
      </c>
      <c r="M35">
        <v>30869.279999999999</v>
      </c>
      <c r="N35" t="s">
        <v>149</v>
      </c>
      <c r="O35" t="s">
        <v>86</v>
      </c>
    </row>
    <row r="36" spans="1:15">
      <c r="A36">
        <v>10035</v>
      </c>
      <c r="B36" s="1">
        <v>46284</v>
      </c>
      <c r="C36" s="1" t="s">
        <v>38</v>
      </c>
      <c r="D36" t="s">
        <v>236</v>
      </c>
      <c r="E36" t="s">
        <v>237</v>
      </c>
      <c r="F36" t="s">
        <v>238</v>
      </c>
      <c r="G36" t="s">
        <v>234</v>
      </c>
      <c r="H36">
        <v>30</v>
      </c>
      <c r="I36">
        <v>1267</v>
      </c>
      <c r="J36">
        <v>0.33</v>
      </c>
      <c r="K36" t="s">
        <v>97</v>
      </c>
      <c r="L36" t="s">
        <v>239</v>
      </c>
      <c r="M36">
        <v>25466.7</v>
      </c>
      <c r="N36" t="s">
        <v>138</v>
      </c>
      <c r="O36" t="s">
        <v>86</v>
      </c>
    </row>
    <row r="37" spans="1:15">
      <c r="A37">
        <v>10036</v>
      </c>
      <c r="B37" s="1">
        <v>46275</v>
      </c>
      <c r="C37" s="1" t="s">
        <v>38</v>
      </c>
      <c r="D37" t="s">
        <v>240</v>
      </c>
      <c r="E37" t="s">
        <v>241</v>
      </c>
      <c r="F37" t="s">
        <v>242</v>
      </c>
      <c r="G37" t="s">
        <v>243</v>
      </c>
      <c r="H37">
        <v>25</v>
      </c>
      <c r="I37">
        <v>1224</v>
      </c>
      <c r="J37">
        <v>0.42</v>
      </c>
      <c r="K37" t="s">
        <v>175</v>
      </c>
      <c r="L37" t="s">
        <v>244</v>
      </c>
      <c r="M37">
        <v>17748</v>
      </c>
      <c r="N37" t="s">
        <v>138</v>
      </c>
      <c r="O37" t="s">
        <v>139</v>
      </c>
    </row>
    <row r="38" spans="1:15">
      <c r="A38">
        <v>10037</v>
      </c>
      <c r="B38" s="1">
        <v>46079</v>
      </c>
      <c r="C38" s="1" t="s">
        <v>10</v>
      </c>
      <c r="D38" t="s">
        <v>245</v>
      </c>
      <c r="E38" t="s">
        <v>246</v>
      </c>
      <c r="F38" t="s">
        <v>247</v>
      </c>
      <c r="G38" t="s">
        <v>64</v>
      </c>
      <c r="H38">
        <v>2</v>
      </c>
      <c r="I38">
        <v>359</v>
      </c>
      <c r="J38">
        <v>0.43</v>
      </c>
      <c r="K38" t="s">
        <v>97</v>
      </c>
      <c r="L38" t="s">
        <v>248</v>
      </c>
      <c r="M38">
        <v>409.26</v>
      </c>
      <c r="N38" t="s">
        <v>249</v>
      </c>
      <c r="O38" t="s">
        <v>139</v>
      </c>
    </row>
    <row r="39" spans="1:15">
      <c r="A39">
        <v>10038</v>
      </c>
      <c r="B39" s="1">
        <v>46106</v>
      </c>
      <c r="C39" s="1" t="s">
        <v>14</v>
      </c>
      <c r="D39" t="s">
        <v>250</v>
      </c>
      <c r="E39" t="s">
        <v>251</v>
      </c>
      <c r="F39" t="s">
        <v>252</v>
      </c>
      <c r="G39" t="s">
        <v>64</v>
      </c>
      <c r="H39">
        <v>28</v>
      </c>
      <c r="I39">
        <v>1134</v>
      </c>
      <c r="J39">
        <v>0.42</v>
      </c>
      <c r="K39" t="s">
        <v>181</v>
      </c>
      <c r="L39" t="s">
        <v>253</v>
      </c>
      <c r="M39">
        <v>18416.16</v>
      </c>
      <c r="N39" t="s">
        <v>99</v>
      </c>
      <c r="O39" t="s">
        <v>139</v>
      </c>
    </row>
    <row r="40" spans="1:15">
      <c r="A40">
        <v>10039</v>
      </c>
      <c r="B40" s="1">
        <v>46042</v>
      </c>
      <c r="C40" s="1" t="s">
        <v>6</v>
      </c>
      <c r="D40" t="s">
        <v>254</v>
      </c>
      <c r="E40" t="s">
        <v>27</v>
      </c>
      <c r="F40" t="s">
        <v>255</v>
      </c>
      <c r="G40" t="s">
        <v>64</v>
      </c>
      <c r="H40">
        <v>6</v>
      </c>
      <c r="I40">
        <v>1046</v>
      </c>
      <c r="J40">
        <v>0.13</v>
      </c>
      <c r="K40" t="s">
        <v>90</v>
      </c>
      <c r="L40" t="s">
        <v>256</v>
      </c>
      <c r="M40">
        <v>5460.12</v>
      </c>
      <c r="N40" t="s">
        <v>107</v>
      </c>
      <c r="O40" t="s">
        <v>93</v>
      </c>
    </row>
    <row r="41" spans="1:15">
      <c r="A41">
        <v>10040</v>
      </c>
      <c r="B41" s="1">
        <v>46226</v>
      </c>
      <c r="C41" s="1" t="s">
        <v>30</v>
      </c>
      <c r="D41" t="s">
        <v>257</v>
      </c>
      <c r="E41" t="s">
        <v>258</v>
      </c>
      <c r="F41" t="s">
        <v>259</v>
      </c>
      <c r="G41" t="s">
        <v>260</v>
      </c>
      <c r="H41">
        <v>83</v>
      </c>
      <c r="I41">
        <v>1517</v>
      </c>
      <c r="J41">
        <v>0.39</v>
      </c>
      <c r="K41" t="s">
        <v>97</v>
      </c>
      <c r="L41" t="s">
        <v>261</v>
      </c>
      <c r="M41">
        <v>76805.709999999992</v>
      </c>
      <c r="N41" t="s">
        <v>208</v>
      </c>
      <c r="O41" t="s">
        <v>86</v>
      </c>
    </row>
    <row r="42" spans="1:15">
      <c r="A42">
        <v>10041</v>
      </c>
      <c r="B42" s="1">
        <v>46376</v>
      </c>
      <c r="C42" s="1" t="s">
        <v>50</v>
      </c>
      <c r="D42" t="s">
        <v>262</v>
      </c>
      <c r="E42" t="s">
        <v>122</v>
      </c>
      <c r="F42" t="s">
        <v>263</v>
      </c>
      <c r="G42" t="s">
        <v>264</v>
      </c>
      <c r="H42">
        <v>31</v>
      </c>
      <c r="I42">
        <v>1543</v>
      </c>
      <c r="J42">
        <v>0.46</v>
      </c>
      <c r="K42" t="s">
        <v>97</v>
      </c>
      <c r="L42" t="s">
        <v>265</v>
      </c>
      <c r="M42">
        <v>25829.82</v>
      </c>
      <c r="N42" t="s">
        <v>199</v>
      </c>
      <c r="O42" t="s">
        <v>139</v>
      </c>
    </row>
    <row r="43" spans="1:15">
      <c r="A43">
        <v>10042</v>
      </c>
      <c r="B43" s="1">
        <v>46206</v>
      </c>
      <c r="C43" s="1" t="s">
        <v>30</v>
      </c>
      <c r="D43" t="s">
        <v>266</v>
      </c>
      <c r="E43" t="s">
        <v>267</v>
      </c>
      <c r="F43" t="s">
        <v>268</v>
      </c>
      <c r="G43" t="s">
        <v>55</v>
      </c>
      <c r="H43">
        <v>78</v>
      </c>
      <c r="I43">
        <v>872</v>
      </c>
      <c r="J43">
        <v>0.46</v>
      </c>
      <c r="K43" t="s">
        <v>181</v>
      </c>
      <c r="L43" t="s">
        <v>269</v>
      </c>
      <c r="M43">
        <v>36728.639999999999</v>
      </c>
      <c r="N43" t="s">
        <v>208</v>
      </c>
      <c r="O43" t="s">
        <v>139</v>
      </c>
    </row>
    <row r="44" spans="1:15">
      <c r="A44">
        <v>10043</v>
      </c>
      <c r="B44" s="1">
        <v>46210</v>
      </c>
      <c r="C44" s="1" t="s">
        <v>30</v>
      </c>
      <c r="D44" t="s">
        <v>270</v>
      </c>
      <c r="E44" t="s">
        <v>271</v>
      </c>
      <c r="F44" t="s">
        <v>272</v>
      </c>
      <c r="G44" t="s">
        <v>28</v>
      </c>
      <c r="H44">
        <v>85</v>
      </c>
      <c r="I44">
        <v>1835</v>
      </c>
      <c r="J44">
        <v>0.38</v>
      </c>
      <c r="K44" t="s">
        <v>97</v>
      </c>
      <c r="L44" t="s">
        <v>273</v>
      </c>
      <c r="M44">
        <v>96704.5</v>
      </c>
      <c r="N44" t="s">
        <v>208</v>
      </c>
      <c r="O44" t="s">
        <v>86</v>
      </c>
    </row>
    <row r="45" spans="1:15">
      <c r="A45">
        <v>10044</v>
      </c>
      <c r="B45" s="1">
        <v>46227</v>
      </c>
      <c r="C45" s="1" t="s">
        <v>30</v>
      </c>
      <c r="D45" t="s">
        <v>274</v>
      </c>
      <c r="E45" t="s">
        <v>275</v>
      </c>
      <c r="F45" t="s">
        <v>276</v>
      </c>
      <c r="G45" t="s">
        <v>28</v>
      </c>
      <c r="H45">
        <v>93</v>
      </c>
      <c r="I45">
        <v>931</v>
      </c>
      <c r="J45">
        <v>0.23</v>
      </c>
      <c r="K45" t="s">
        <v>83</v>
      </c>
      <c r="L45" t="s">
        <v>277</v>
      </c>
      <c r="M45">
        <v>66668.91</v>
      </c>
      <c r="N45" t="s">
        <v>208</v>
      </c>
      <c r="O45" t="s">
        <v>86</v>
      </c>
    </row>
    <row r="46" spans="1:15">
      <c r="A46">
        <v>10045</v>
      </c>
      <c r="B46" s="1">
        <v>46271</v>
      </c>
      <c r="C46" s="1" t="s">
        <v>38</v>
      </c>
      <c r="D46" t="s">
        <v>278</v>
      </c>
      <c r="E46" t="s">
        <v>279</v>
      </c>
      <c r="F46" t="s">
        <v>280</v>
      </c>
      <c r="G46" t="s">
        <v>28</v>
      </c>
      <c r="H46">
        <v>51</v>
      </c>
      <c r="I46">
        <v>1735</v>
      </c>
      <c r="J46">
        <v>0.35</v>
      </c>
      <c r="K46" t="s">
        <v>175</v>
      </c>
      <c r="L46" t="s">
        <v>281</v>
      </c>
      <c r="M46">
        <v>57515.25</v>
      </c>
      <c r="N46" t="s">
        <v>138</v>
      </c>
      <c r="O46" t="s">
        <v>86</v>
      </c>
    </row>
    <row r="47" spans="1:15">
      <c r="A47">
        <v>10046</v>
      </c>
      <c r="B47" s="1">
        <v>46038</v>
      </c>
      <c r="C47" s="1" t="s">
        <v>6</v>
      </c>
      <c r="D47" t="s">
        <v>282</v>
      </c>
      <c r="E47" t="s">
        <v>283</v>
      </c>
      <c r="F47" t="s">
        <v>284</v>
      </c>
      <c r="G47" t="s">
        <v>285</v>
      </c>
      <c r="H47">
        <v>10</v>
      </c>
      <c r="I47">
        <v>1386</v>
      </c>
      <c r="J47">
        <v>0.17</v>
      </c>
      <c r="K47" t="s">
        <v>97</v>
      </c>
      <c r="L47" t="s">
        <v>286</v>
      </c>
      <c r="M47">
        <v>11503.8</v>
      </c>
      <c r="N47" t="s">
        <v>107</v>
      </c>
      <c r="O47" t="s">
        <v>93</v>
      </c>
    </row>
    <row r="48" spans="1:15">
      <c r="A48">
        <v>10047</v>
      </c>
      <c r="B48" s="1">
        <v>46246</v>
      </c>
      <c r="C48" s="1" t="s">
        <v>34</v>
      </c>
      <c r="D48" t="s">
        <v>287</v>
      </c>
      <c r="E48" t="s">
        <v>288</v>
      </c>
      <c r="F48" t="s">
        <v>289</v>
      </c>
      <c r="G48" t="s">
        <v>285</v>
      </c>
      <c r="H48">
        <v>77</v>
      </c>
      <c r="I48">
        <v>1566</v>
      </c>
      <c r="J48">
        <v>0.49</v>
      </c>
      <c r="K48" t="s">
        <v>181</v>
      </c>
      <c r="L48" t="s">
        <v>290</v>
      </c>
      <c r="M48">
        <v>61496.82</v>
      </c>
      <c r="N48" t="s">
        <v>144</v>
      </c>
      <c r="O48" t="s">
        <v>139</v>
      </c>
    </row>
    <row r="49" spans="1:15">
      <c r="A49">
        <v>10048</v>
      </c>
      <c r="B49" s="1">
        <v>46176</v>
      </c>
      <c r="C49" s="1" t="s">
        <v>26</v>
      </c>
      <c r="D49" t="s">
        <v>291</v>
      </c>
      <c r="E49" t="s">
        <v>292</v>
      </c>
      <c r="F49" t="s">
        <v>293</v>
      </c>
      <c r="G49" t="s">
        <v>294</v>
      </c>
      <c r="H49">
        <v>3</v>
      </c>
      <c r="I49">
        <v>1718</v>
      </c>
      <c r="J49">
        <v>0.31</v>
      </c>
      <c r="K49" t="s">
        <v>83</v>
      </c>
      <c r="L49" t="s">
        <v>295</v>
      </c>
      <c r="M49">
        <v>3556.26</v>
      </c>
      <c r="N49" t="s">
        <v>92</v>
      </c>
      <c r="O49" t="s">
        <v>86</v>
      </c>
    </row>
    <row r="50" spans="1:15">
      <c r="A50">
        <v>10049</v>
      </c>
      <c r="B50" s="1">
        <v>46374</v>
      </c>
      <c r="C50" s="1" t="s">
        <v>50</v>
      </c>
      <c r="D50" t="s">
        <v>296</v>
      </c>
      <c r="E50" t="s">
        <v>297</v>
      </c>
      <c r="F50" t="s">
        <v>298</v>
      </c>
      <c r="G50" t="s">
        <v>299</v>
      </c>
      <c r="H50">
        <v>74</v>
      </c>
      <c r="I50">
        <v>1506</v>
      </c>
      <c r="J50">
        <v>0.36</v>
      </c>
      <c r="K50" t="s">
        <v>97</v>
      </c>
      <c r="L50" t="s">
        <v>300</v>
      </c>
      <c r="M50">
        <v>71324.160000000003</v>
      </c>
      <c r="N50" t="s">
        <v>199</v>
      </c>
      <c r="O50" t="s">
        <v>86</v>
      </c>
    </row>
    <row r="51" spans="1:15">
      <c r="A51">
        <v>10050</v>
      </c>
      <c r="B51" s="1">
        <v>46212</v>
      </c>
      <c r="C51" s="1" t="s">
        <v>30</v>
      </c>
      <c r="D51" t="s">
        <v>301</v>
      </c>
      <c r="E51" t="s">
        <v>302</v>
      </c>
      <c r="F51" t="s">
        <v>303</v>
      </c>
      <c r="G51" t="s">
        <v>299</v>
      </c>
      <c r="H51">
        <v>90</v>
      </c>
      <c r="I51">
        <v>1290</v>
      </c>
      <c r="J51">
        <v>0.19</v>
      </c>
      <c r="K51" t="s">
        <v>97</v>
      </c>
      <c r="L51" t="s">
        <v>304</v>
      </c>
      <c r="M51">
        <v>94041</v>
      </c>
      <c r="N51" t="s">
        <v>208</v>
      </c>
      <c r="O51" t="s">
        <v>93</v>
      </c>
    </row>
    <row r="52" spans="1:15">
      <c r="A52">
        <v>10051</v>
      </c>
      <c r="B52" s="1">
        <v>46290</v>
      </c>
      <c r="C52" s="1" t="s">
        <v>38</v>
      </c>
      <c r="D52" t="s">
        <v>305</v>
      </c>
      <c r="E52" t="s">
        <v>306</v>
      </c>
      <c r="F52" t="s">
        <v>307</v>
      </c>
      <c r="G52" t="s">
        <v>28</v>
      </c>
      <c r="H52">
        <v>85</v>
      </c>
      <c r="I52">
        <v>401</v>
      </c>
      <c r="J52">
        <v>0.38</v>
      </c>
      <c r="K52" t="s">
        <v>90</v>
      </c>
      <c r="L52" t="s">
        <v>308</v>
      </c>
      <c r="M52">
        <v>21132.7</v>
      </c>
      <c r="N52" t="s">
        <v>138</v>
      </c>
      <c r="O52" t="s">
        <v>86</v>
      </c>
    </row>
    <row r="53" spans="1:15">
      <c r="A53">
        <v>10052</v>
      </c>
      <c r="B53" s="1">
        <v>46310</v>
      </c>
      <c r="C53" s="1" t="s">
        <v>42</v>
      </c>
      <c r="D53" t="s">
        <v>309</v>
      </c>
      <c r="E53" t="s">
        <v>310</v>
      </c>
      <c r="F53" t="s">
        <v>311</v>
      </c>
      <c r="G53" t="s">
        <v>28</v>
      </c>
      <c r="H53">
        <v>56</v>
      </c>
      <c r="I53">
        <v>693</v>
      </c>
      <c r="J53">
        <v>0.44</v>
      </c>
      <c r="K53" t="s">
        <v>181</v>
      </c>
      <c r="L53" t="s">
        <v>312</v>
      </c>
      <c r="M53">
        <v>21732.48</v>
      </c>
      <c r="N53" t="s">
        <v>177</v>
      </c>
      <c r="O53" t="s">
        <v>139</v>
      </c>
    </row>
    <row r="54" spans="1:15">
      <c r="A54">
        <v>10053</v>
      </c>
      <c r="B54" s="1">
        <v>46214</v>
      </c>
      <c r="C54" s="1" t="s">
        <v>30</v>
      </c>
      <c r="D54" t="s">
        <v>313</v>
      </c>
      <c r="E54" t="s">
        <v>314</v>
      </c>
      <c r="F54" t="s">
        <v>315</v>
      </c>
      <c r="G54" t="s">
        <v>28</v>
      </c>
      <c r="H54">
        <v>12</v>
      </c>
      <c r="I54">
        <v>859</v>
      </c>
      <c r="J54">
        <v>0.23</v>
      </c>
      <c r="K54" t="s">
        <v>181</v>
      </c>
      <c r="L54" t="s">
        <v>316</v>
      </c>
      <c r="M54">
        <v>7937.16</v>
      </c>
      <c r="N54" t="s">
        <v>208</v>
      </c>
      <c r="O54" t="s">
        <v>86</v>
      </c>
    </row>
    <row r="55" spans="1:15">
      <c r="A55">
        <v>10054</v>
      </c>
      <c r="B55" s="1">
        <v>46349</v>
      </c>
      <c r="C55" s="1" t="s">
        <v>46</v>
      </c>
      <c r="D55" t="s">
        <v>317</v>
      </c>
      <c r="E55" t="s">
        <v>318</v>
      </c>
      <c r="F55" t="s">
        <v>319</v>
      </c>
      <c r="G55" t="s">
        <v>28</v>
      </c>
      <c r="H55">
        <v>99</v>
      </c>
      <c r="I55">
        <v>1992</v>
      </c>
      <c r="J55">
        <v>0.15</v>
      </c>
      <c r="K55" t="s">
        <v>83</v>
      </c>
      <c r="L55" t="s">
        <v>320</v>
      </c>
      <c r="M55">
        <v>167626.79999999999</v>
      </c>
      <c r="N55" t="s">
        <v>149</v>
      </c>
      <c r="O55" t="s">
        <v>93</v>
      </c>
    </row>
    <row r="56" spans="1:15">
      <c r="A56">
        <v>10055</v>
      </c>
      <c r="B56" s="1">
        <v>46065</v>
      </c>
      <c r="C56" s="1" t="s">
        <v>10</v>
      </c>
      <c r="D56" t="s">
        <v>321</v>
      </c>
      <c r="E56" t="s">
        <v>322</v>
      </c>
      <c r="F56" t="s">
        <v>323</v>
      </c>
      <c r="G56" t="s">
        <v>28</v>
      </c>
      <c r="H56">
        <v>11</v>
      </c>
      <c r="I56">
        <v>100</v>
      </c>
      <c r="J56">
        <v>0.26</v>
      </c>
      <c r="K56" t="s">
        <v>97</v>
      </c>
      <c r="L56" t="s">
        <v>324</v>
      </c>
      <c r="M56">
        <v>814</v>
      </c>
      <c r="N56" t="s">
        <v>249</v>
      </c>
      <c r="O56" t="s">
        <v>86</v>
      </c>
    </row>
    <row r="57" spans="1:15">
      <c r="A57">
        <v>10056</v>
      </c>
      <c r="B57" s="1">
        <v>46377</v>
      </c>
      <c r="C57" s="1" t="s">
        <v>50</v>
      </c>
      <c r="D57" t="s">
        <v>325</v>
      </c>
      <c r="E57" t="s">
        <v>326</v>
      </c>
      <c r="F57" t="s">
        <v>327</v>
      </c>
      <c r="G57" t="s">
        <v>28</v>
      </c>
      <c r="H57">
        <v>32</v>
      </c>
      <c r="I57">
        <v>644</v>
      </c>
      <c r="J57">
        <v>0.42</v>
      </c>
      <c r="K57" t="s">
        <v>90</v>
      </c>
      <c r="L57" t="s">
        <v>328</v>
      </c>
      <c r="M57">
        <v>11952.64</v>
      </c>
      <c r="N57" t="s">
        <v>199</v>
      </c>
      <c r="O57" t="s">
        <v>139</v>
      </c>
    </row>
    <row r="58" spans="1:15">
      <c r="A58">
        <v>10057</v>
      </c>
      <c r="B58" s="1">
        <v>46300</v>
      </c>
      <c r="C58" s="1" t="s">
        <v>42</v>
      </c>
      <c r="D58" t="s">
        <v>329</v>
      </c>
      <c r="E58" t="s">
        <v>330</v>
      </c>
      <c r="F58" t="s">
        <v>331</v>
      </c>
      <c r="G58" t="s">
        <v>28</v>
      </c>
      <c r="H58">
        <v>15</v>
      </c>
      <c r="I58">
        <v>1412</v>
      </c>
      <c r="J58">
        <v>0.28999999999999998</v>
      </c>
      <c r="K58" t="s">
        <v>175</v>
      </c>
      <c r="L58" t="s">
        <v>332</v>
      </c>
      <c r="M58">
        <v>15037.8</v>
      </c>
      <c r="N58" t="s">
        <v>177</v>
      </c>
      <c r="O58" t="s">
        <v>86</v>
      </c>
    </row>
    <row r="59" spans="1:15">
      <c r="A59">
        <v>10058</v>
      </c>
      <c r="B59" s="1">
        <v>46227</v>
      </c>
      <c r="C59" s="1" t="s">
        <v>30</v>
      </c>
      <c r="D59" t="s">
        <v>333</v>
      </c>
      <c r="E59" t="s">
        <v>334</v>
      </c>
      <c r="F59" t="s">
        <v>335</v>
      </c>
      <c r="G59" t="s">
        <v>28</v>
      </c>
      <c r="H59">
        <v>18</v>
      </c>
      <c r="I59">
        <v>1962</v>
      </c>
      <c r="J59">
        <v>0.36</v>
      </c>
      <c r="K59" t="s">
        <v>97</v>
      </c>
      <c r="L59" t="s">
        <v>336</v>
      </c>
      <c r="M59">
        <v>22602.240000000002</v>
      </c>
      <c r="N59" t="s">
        <v>208</v>
      </c>
      <c r="O59" t="s">
        <v>86</v>
      </c>
    </row>
    <row r="60" spans="1:15">
      <c r="A60">
        <v>10059</v>
      </c>
      <c r="B60" s="1">
        <v>46146</v>
      </c>
      <c r="C60" s="1" t="s">
        <v>22</v>
      </c>
      <c r="D60" t="s">
        <v>337</v>
      </c>
      <c r="E60" t="s">
        <v>43</v>
      </c>
      <c r="F60" t="s">
        <v>338</v>
      </c>
      <c r="G60" t="s">
        <v>28</v>
      </c>
      <c r="H60">
        <v>2</v>
      </c>
      <c r="I60">
        <v>312</v>
      </c>
      <c r="J60">
        <v>0.22</v>
      </c>
      <c r="K60" t="s">
        <v>90</v>
      </c>
      <c r="L60" t="s">
        <v>339</v>
      </c>
      <c r="M60">
        <v>486.72</v>
      </c>
      <c r="N60" t="s">
        <v>85</v>
      </c>
      <c r="O60" t="s">
        <v>86</v>
      </c>
    </row>
    <row r="61" spans="1:15">
      <c r="A61">
        <v>10060</v>
      </c>
      <c r="B61" s="1">
        <v>46206</v>
      </c>
      <c r="C61" s="1" t="s">
        <v>30</v>
      </c>
      <c r="D61" t="s">
        <v>340</v>
      </c>
      <c r="E61" t="s">
        <v>341</v>
      </c>
      <c r="F61" t="s">
        <v>37</v>
      </c>
      <c r="G61" t="s">
        <v>28</v>
      </c>
      <c r="H61">
        <v>82</v>
      </c>
      <c r="I61">
        <v>881</v>
      </c>
      <c r="J61">
        <v>0.41</v>
      </c>
      <c r="K61" t="s">
        <v>90</v>
      </c>
      <c r="L61" t="s">
        <v>342</v>
      </c>
      <c r="M61">
        <v>42622.780000000013</v>
      </c>
      <c r="N61" t="s">
        <v>208</v>
      </c>
      <c r="O61" t="s">
        <v>139</v>
      </c>
    </row>
    <row r="62" spans="1:15">
      <c r="A62">
        <v>10061</v>
      </c>
      <c r="B62" s="1">
        <v>46030</v>
      </c>
      <c r="C62" s="1" t="s">
        <v>6</v>
      </c>
      <c r="D62" t="s">
        <v>343</v>
      </c>
      <c r="E62" t="s">
        <v>344</v>
      </c>
      <c r="F62" t="s">
        <v>345</v>
      </c>
      <c r="G62" t="s">
        <v>44</v>
      </c>
      <c r="H62">
        <v>69</v>
      </c>
      <c r="I62">
        <v>1847</v>
      </c>
      <c r="J62">
        <v>0.13</v>
      </c>
      <c r="K62" t="s">
        <v>181</v>
      </c>
      <c r="L62" t="s">
        <v>346</v>
      </c>
      <c r="M62">
        <v>110875.41</v>
      </c>
      <c r="N62" t="s">
        <v>107</v>
      </c>
      <c r="O62" t="s">
        <v>93</v>
      </c>
    </row>
    <row r="63" spans="1:15">
      <c r="A63">
        <v>10062</v>
      </c>
      <c r="B63" s="1">
        <v>46059</v>
      </c>
      <c r="C63" s="1" t="s">
        <v>10</v>
      </c>
      <c r="D63" t="s">
        <v>347</v>
      </c>
      <c r="E63" t="s">
        <v>348</v>
      </c>
      <c r="F63" t="s">
        <v>349</v>
      </c>
      <c r="G63" t="s">
        <v>44</v>
      </c>
      <c r="H63">
        <v>7</v>
      </c>
      <c r="I63">
        <v>621</v>
      </c>
      <c r="J63">
        <v>0.32</v>
      </c>
      <c r="K63" t="s">
        <v>83</v>
      </c>
      <c r="L63" t="s">
        <v>350</v>
      </c>
      <c r="M63">
        <v>2955.96</v>
      </c>
      <c r="N63" t="s">
        <v>249</v>
      </c>
      <c r="O63" t="s">
        <v>86</v>
      </c>
    </row>
    <row r="64" spans="1:15">
      <c r="A64">
        <v>10063</v>
      </c>
      <c r="B64" s="1">
        <v>46114</v>
      </c>
      <c r="C64" s="1" t="s">
        <v>18</v>
      </c>
      <c r="D64" t="s">
        <v>351</v>
      </c>
      <c r="E64" t="s">
        <v>352</v>
      </c>
      <c r="F64" t="s">
        <v>353</v>
      </c>
      <c r="G64" t="s">
        <v>44</v>
      </c>
      <c r="H64">
        <v>4</v>
      </c>
      <c r="I64">
        <v>111</v>
      </c>
      <c r="J64">
        <v>0.48</v>
      </c>
      <c r="K64" t="s">
        <v>83</v>
      </c>
      <c r="L64" t="s">
        <v>354</v>
      </c>
      <c r="M64">
        <v>230.88</v>
      </c>
      <c r="N64" t="s">
        <v>125</v>
      </c>
      <c r="O64" t="s">
        <v>139</v>
      </c>
    </row>
    <row r="65" spans="1:15">
      <c r="A65">
        <v>10064</v>
      </c>
      <c r="B65" s="1">
        <v>46319</v>
      </c>
      <c r="C65" s="1" t="s">
        <v>42</v>
      </c>
      <c r="D65" t="s">
        <v>355</v>
      </c>
      <c r="E65" t="s">
        <v>356</v>
      </c>
      <c r="F65" t="s">
        <v>21</v>
      </c>
      <c r="G65" t="s">
        <v>44</v>
      </c>
      <c r="H65">
        <v>38</v>
      </c>
      <c r="I65">
        <v>1641</v>
      </c>
      <c r="J65">
        <v>0.33</v>
      </c>
      <c r="K65" t="s">
        <v>90</v>
      </c>
      <c r="L65" t="s">
        <v>357</v>
      </c>
      <c r="M65">
        <v>41779.859999999993</v>
      </c>
      <c r="N65" t="s">
        <v>177</v>
      </c>
      <c r="O65" t="s">
        <v>86</v>
      </c>
    </row>
    <row r="66" spans="1:15">
      <c r="A66">
        <v>10065</v>
      </c>
      <c r="B66" s="1">
        <v>46275</v>
      </c>
      <c r="C66" s="1" t="s">
        <v>38</v>
      </c>
      <c r="D66" t="s">
        <v>358</v>
      </c>
      <c r="E66" t="s">
        <v>359</v>
      </c>
      <c r="F66" t="s">
        <v>360</v>
      </c>
      <c r="G66" t="s">
        <v>44</v>
      </c>
      <c r="H66">
        <v>96</v>
      </c>
      <c r="I66">
        <v>1964</v>
      </c>
      <c r="J66">
        <v>0.31</v>
      </c>
      <c r="K66" t="s">
        <v>83</v>
      </c>
      <c r="L66" t="s">
        <v>361</v>
      </c>
      <c r="M66">
        <v>130095.36</v>
      </c>
      <c r="N66" t="s">
        <v>138</v>
      </c>
      <c r="O66" t="s">
        <v>86</v>
      </c>
    </row>
    <row r="67" spans="1:15">
      <c r="A67">
        <v>10066</v>
      </c>
      <c r="B67" s="1">
        <v>46247</v>
      </c>
      <c r="C67" s="1" t="s">
        <v>34</v>
      </c>
      <c r="D67" t="s">
        <v>362</v>
      </c>
      <c r="E67" t="s">
        <v>363</v>
      </c>
      <c r="F67" t="s">
        <v>364</v>
      </c>
      <c r="G67" t="s">
        <v>61</v>
      </c>
      <c r="H67">
        <v>13</v>
      </c>
      <c r="I67">
        <v>1086</v>
      </c>
      <c r="J67">
        <v>0.18</v>
      </c>
      <c r="K67" t="s">
        <v>90</v>
      </c>
      <c r="L67" t="s">
        <v>365</v>
      </c>
      <c r="M67">
        <v>11576.76</v>
      </c>
      <c r="N67" t="s">
        <v>144</v>
      </c>
      <c r="O67" t="s">
        <v>93</v>
      </c>
    </row>
    <row r="68" spans="1:15">
      <c r="A68">
        <v>10067</v>
      </c>
      <c r="B68" s="1">
        <v>46056</v>
      </c>
      <c r="C68" s="1" t="s">
        <v>10</v>
      </c>
      <c r="D68" t="s">
        <v>366</v>
      </c>
      <c r="E68" t="s">
        <v>179</v>
      </c>
      <c r="F68" t="s">
        <v>367</v>
      </c>
      <c r="G68" t="s">
        <v>61</v>
      </c>
      <c r="H68">
        <v>19</v>
      </c>
      <c r="I68">
        <v>929</v>
      </c>
      <c r="J68">
        <v>0.31</v>
      </c>
      <c r="K68" t="s">
        <v>97</v>
      </c>
      <c r="L68" t="s">
        <v>368</v>
      </c>
      <c r="M68">
        <v>12179.19</v>
      </c>
      <c r="N68" t="s">
        <v>249</v>
      </c>
      <c r="O68" t="s">
        <v>86</v>
      </c>
    </row>
    <row r="69" spans="1:15">
      <c r="A69">
        <v>10068</v>
      </c>
      <c r="B69" s="1">
        <v>46048</v>
      </c>
      <c r="C69" s="1" t="s">
        <v>6</v>
      </c>
      <c r="D69" t="s">
        <v>369</v>
      </c>
      <c r="E69" t="s">
        <v>370</v>
      </c>
      <c r="F69" t="s">
        <v>371</v>
      </c>
      <c r="G69" t="s">
        <v>61</v>
      </c>
      <c r="H69">
        <v>66</v>
      </c>
      <c r="I69">
        <v>1940</v>
      </c>
      <c r="J69">
        <v>0.3</v>
      </c>
      <c r="K69" t="s">
        <v>97</v>
      </c>
      <c r="L69" t="s">
        <v>372</v>
      </c>
      <c r="M69">
        <v>89628</v>
      </c>
      <c r="N69" t="s">
        <v>107</v>
      </c>
      <c r="O69" t="s">
        <v>86</v>
      </c>
    </row>
    <row r="70" spans="1:15">
      <c r="A70">
        <v>10069</v>
      </c>
      <c r="B70" s="1">
        <v>46209</v>
      </c>
      <c r="C70" s="1" t="s">
        <v>30</v>
      </c>
      <c r="D70" t="s">
        <v>373</v>
      </c>
      <c r="E70" t="s">
        <v>184</v>
      </c>
      <c r="F70" t="s">
        <v>374</v>
      </c>
      <c r="G70" t="s">
        <v>375</v>
      </c>
      <c r="H70">
        <v>39</v>
      </c>
      <c r="I70">
        <v>1582</v>
      </c>
      <c r="J70">
        <v>0.15</v>
      </c>
      <c r="K70" t="s">
        <v>175</v>
      </c>
      <c r="L70" t="s">
        <v>376</v>
      </c>
      <c r="M70">
        <v>52443.3</v>
      </c>
      <c r="N70" t="s">
        <v>208</v>
      </c>
      <c r="O70" t="s">
        <v>93</v>
      </c>
    </row>
    <row r="71" spans="1:15">
      <c r="A71">
        <v>10070</v>
      </c>
      <c r="B71" s="1">
        <v>46297</v>
      </c>
      <c r="C71" s="1" t="s">
        <v>42</v>
      </c>
      <c r="D71" t="s">
        <v>377</v>
      </c>
      <c r="E71" t="s">
        <v>378</v>
      </c>
      <c r="F71" t="s">
        <v>379</v>
      </c>
      <c r="G71" t="s">
        <v>57</v>
      </c>
      <c r="H71">
        <v>77</v>
      </c>
      <c r="I71">
        <v>303</v>
      </c>
      <c r="J71">
        <v>0.28000000000000003</v>
      </c>
      <c r="K71" t="s">
        <v>90</v>
      </c>
      <c r="L71" t="s">
        <v>380</v>
      </c>
      <c r="M71">
        <v>16798.32</v>
      </c>
      <c r="N71" t="s">
        <v>177</v>
      </c>
      <c r="O71" t="s">
        <v>86</v>
      </c>
    </row>
    <row r="72" spans="1:15">
      <c r="A72">
        <v>10071</v>
      </c>
      <c r="B72" s="1">
        <v>46281</v>
      </c>
      <c r="C72" s="1" t="s">
        <v>38</v>
      </c>
      <c r="D72" t="s">
        <v>381</v>
      </c>
      <c r="E72" t="s">
        <v>188</v>
      </c>
      <c r="F72" t="s">
        <v>382</v>
      </c>
      <c r="G72" t="s">
        <v>57</v>
      </c>
      <c r="H72">
        <v>51</v>
      </c>
      <c r="I72">
        <v>529</v>
      </c>
      <c r="J72">
        <v>0.14000000000000001</v>
      </c>
      <c r="K72" t="s">
        <v>181</v>
      </c>
      <c r="L72" t="s">
        <v>383</v>
      </c>
      <c r="M72">
        <v>23201.94</v>
      </c>
      <c r="N72" t="s">
        <v>138</v>
      </c>
      <c r="O72" t="s">
        <v>93</v>
      </c>
    </row>
    <row r="73" spans="1:15">
      <c r="A73">
        <v>10072</v>
      </c>
      <c r="B73" s="1">
        <v>46144</v>
      </c>
      <c r="C73" s="1" t="s">
        <v>22</v>
      </c>
      <c r="D73" t="s">
        <v>384</v>
      </c>
      <c r="E73" t="s">
        <v>385</v>
      </c>
      <c r="F73" t="s">
        <v>386</v>
      </c>
      <c r="G73" t="s">
        <v>57</v>
      </c>
      <c r="H73">
        <v>46</v>
      </c>
      <c r="I73">
        <v>1656</v>
      </c>
      <c r="J73">
        <v>0.45</v>
      </c>
      <c r="K73" t="s">
        <v>55</v>
      </c>
      <c r="L73" t="s">
        <v>387</v>
      </c>
      <c r="M73">
        <v>41896.800000000003</v>
      </c>
      <c r="N73" t="s">
        <v>85</v>
      </c>
      <c r="O73" t="s">
        <v>139</v>
      </c>
    </row>
    <row r="74" spans="1:15">
      <c r="A74">
        <v>10073</v>
      </c>
      <c r="B74" s="1">
        <v>46146</v>
      </c>
      <c r="C74" s="1" t="s">
        <v>22</v>
      </c>
      <c r="D74" t="s">
        <v>388</v>
      </c>
      <c r="E74" t="s">
        <v>146</v>
      </c>
      <c r="F74" t="s">
        <v>29</v>
      </c>
      <c r="G74" t="s">
        <v>20</v>
      </c>
      <c r="H74">
        <v>78</v>
      </c>
      <c r="I74">
        <v>1771</v>
      </c>
      <c r="J74">
        <v>0.1</v>
      </c>
      <c r="K74" t="s">
        <v>90</v>
      </c>
      <c r="L74" t="s">
        <v>389</v>
      </c>
      <c r="M74">
        <v>124324.2</v>
      </c>
      <c r="N74" t="s">
        <v>85</v>
      </c>
      <c r="O74" t="s">
        <v>93</v>
      </c>
    </row>
    <row r="75" spans="1:15">
      <c r="A75">
        <v>10074</v>
      </c>
      <c r="B75" s="1">
        <v>46211</v>
      </c>
      <c r="C75" s="1" t="s">
        <v>30</v>
      </c>
      <c r="D75" t="s">
        <v>390</v>
      </c>
      <c r="E75" t="s">
        <v>11</v>
      </c>
      <c r="F75" t="s">
        <v>391</v>
      </c>
      <c r="G75" t="s">
        <v>63</v>
      </c>
      <c r="H75">
        <v>95</v>
      </c>
      <c r="I75">
        <v>119</v>
      </c>
      <c r="J75">
        <v>0.19</v>
      </c>
      <c r="K75" t="s">
        <v>90</v>
      </c>
      <c r="L75" t="s">
        <v>392</v>
      </c>
      <c r="M75">
        <v>9157.0500000000011</v>
      </c>
      <c r="N75" t="s">
        <v>208</v>
      </c>
      <c r="O75" t="s">
        <v>93</v>
      </c>
    </row>
    <row r="76" spans="1:15">
      <c r="A76">
        <v>10075</v>
      </c>
      <c r="B76" s="1">
        <v>46342</v>
      </c>
      <c r="C76" s="1" t="s">
        <v>46</v>
      </c>
      <c r="D76" t="s">
        <v>393</v>
      </c>
      <c r="E76" t="s">
        <v>141</v>
      </c>
      <c r="F76" t="s">
        <v>394</v>
      </c>
      <c r="G76" t="s">
        <v>395</v>
      </c>
      <c r="H76">
        <v>98</v>
      </c>
      <c r="I76">
        <v>1680</v>
      </c>
      <c r="J76">
        <v>0.41</v>
      </c>
      <c r="K76" t="s">
        <v>175</v>
      </c>
      <c r="L76" t="s">
        <v>396</v>
      </c>
      <c r="M76">
        <v>97137.60000000002</v>
      </c>
      <c r="N76" t="s">
        <v>149</v>
      </c>
      <c r="O76" t="s">
        <v>139</v>
      </c>
    </row>
    <row r="77" spans="1:15">
      <c r="A77">
        <v>10076</v>
      </c>
      <c r="B77" s="1">
        <v>46123</v>
      </c>
      <c r="C77" s="1" t="s">
        <v>18</v>
      </c>
      <c r="D77" t="s">
        <v>397</v>
      </c>
      <c r="E77" t="s">
        <v>398</v>
      </c>
      <c r="F77" t="s">
        <v>45</v>
      </c>
      <c r="G77" t="s">
        <v>16</v>
      </c>
      <c r="H77">
        <v>50</v>
      </c>
      <c r="I77">
        <v>838</v>
      </c>
      <c r="J77">
        <v>0.14000000000000001</v>
      </c>
      <c r="K77" t="s">
        <v>90</v>
      </c>
      <c r="L77" t="s">
        <v>399</v>
      </c>
      <c r="M77">
        <v>36034</v>
      </c>
      <c r="N77" t="s">
        <v>125</v>
      </c>
      <c r="O77" t="s">
        <v>93</v>
      </c>
    </row>
    <row r="78" spans="1:15">
      <c r="A78">
        <v>10077</v>
      </c>
      <c r="B78" s="1">
        <v>46067</v>
      </c>
      <c r="C78" s="1" t="s">
        <v>10</v>
      </c>
      <c r="D78" t="s">
        <v>400</v>
      </c>
      <c r="E78" t="s">
        <v>401</v>
      </c>
      <c r="F78" t="s">
        <v>13</v>
      </c>
      <c r="G78" t="s">
        <v>16</v>
      </c>
      <c r="H78">
        <v>70</v>
      </c>
      <c r="I78">
        <v>1750</v>
      </c>
      <c r="J78">
        <v>0.28000000000000003</v>
      </c>
      <c r="K78" t="s">
        <v>90</v>
      </c>
      <c r="L78" t="s">
        <v>402</v>
      </c>
      <c r="M78">
        <v>88200</v>
      </c>
      <c r="N78" t="s">
        <v>249</v>
      </c>
      <c r="O78" t="s">
        <v>86</v>
      </c>
    </row>
    <row r="79" spans="1:15">
      <c r="A79">
        <v>10078</v>
      </c>
      <c r="B79" s="1">
        <v>46065</v>
      </c>
      <c r="C79" s="1" t="s">
        <v>10</v>
      </c>
      <c r="D79" t="s">
        <v>403</v>
      </c>
      <c r="E79" t="s">
        <v>404</v>
      </c>
      <c r="F79" t="s">
        <v>405</v>
      </c>
      <c r="G79" t="s">
        <v>16</v>
      </c>
      <c r="H79">
        <v>12</v>
      </c>
      <c r="I79">
        <v>1020</v>
      </c>
      <c r="J79">
        <v>0.34</v>
      </c>
      <c r="K79" t="s">
        <v>83</v>
      </c>
      <c r="L79" t="s">
        <v>406</v>
      </c>
      <c r="M79">
        <v>8078.3999999999987</v>
      </c>
      <c r="N79" t="s">
        <v>249</v>
      </c>
      <c r="O79" t="s">
        <v>86</v>
      </c>
    </row>
    <row r="80" spans="1:15">
      <c r="A80">
        <v>10079</v>
      </c>
      <c r="B80" s="1">
        <v>46238</v>
      </c>
      <c r="C80" s="1" t="s">
        <v>34</v>
      </c>
      <c r="D80" t="s">
        <v>407</v>
      </c>
      <c r="E80" t="s">
        <v>23</v>
      </c>
      <c r="F80" t="s">
        <v>408</v>
      </c>
      <c r="G80" t="s">
        <v>16</v>
      </c>
      <c r="H80">
        <v>44</v>
      </c>
      <c r="I80">
        <v>250</v>
      </c>
      <c r="J80">
        <v>0.45</v>
      </c>
      <c r="K80" t="s">
        <v>90</v>
      </c>
      <c r="L80" t="s">
        <v>409</v>
      </c>
      <c r="M80">
        <v>6050.0000000000009</v>
      </c>
      <c r="N80" t="s">
        <v>144</v>
      </c>
      <c r="O80" t="s">
        <v>139</v>
      </c>
    </row>
    <row r="81" spans="1:15">
      <c r="A81">
        <v>10080</v>
      </c>
      <c r="B81" s="1">
        <v>46260</v>
      </c>
      <c r="C81" s="1" t="s">
        <v>34</v>
      </c>
      <c r="D81" t="s">
        <v>410</v>
      </c>
      <c r="E81" t="s">
        <v>159</v>
      </c>
      <c r="F81" t="s">
        <v>411</v>
      </c>
      <c r="G81" t="s">
        <v>16</v>
      </c>
      <c r="H81">
        <v>33</v>
      </c>
      <c r="I81">
        <v>485</v>
      </c>
      <c r="J81">
        <v>0.39</v>
      </c>
      <c r="K81" t="s">
        <v>175</v>
      </c>
      <c r="L81" t="s">
        <v>412</v>
      </c>
      <c r="M81">
        <v>9763.0499999999993</v>
      </c>
      <c r="N81" t="s">
        <v>144</v>
      </c>
      <c r="O81" t="s">
        <v>86</v>
      </c>
    </row>
    <row r="82" spans="1:15">
      <c r="A82">
        <v>10081</v>
      </c>
      <c r="B82" s="1">
        <v>46209</v>
      </c>
      <c r="C82" s="1" t="s">
        <v>30</v>
      </c>
      <c r="D82" t="s">
        <v>413</v>
      </c>
      <c r="E82" t="s">
        <v>414</v>
      </c>
      <c r="F82" t="s">
        <v>415</v>
      </c>
      <c r="G82" t="s">
        <v>416</v>
      </c>
      <c r="H82">
        <v>42</v>
      </c>
      <c r="I82">
        <v>357</v>
      </c>
      <c r="J82">
        <v>0.17</v>
      </c>
      <c r="K82" t="s">
        <v>181</v>
      </c>
      <c r="L82" t="s">
        <v>417</v>
      </c>
      <c r="M82">
        <v>12445.02</v>
      </c>
      <c r="N82" t="s">
        <v>208</v>
      </c>
      <c r="O82" t="s">
        <v>93</v>
      </c>
    </row>
    <row r="83" spans="1:15">
      <c r="A83">
        <v>10082</v>
      </c>
      <c r="B83" s="1">
        <v>46318</v>
      </c>
      <c r="C83" s="1" t="s">
        <v>42</v>
      </c>
      <c r="D83" t="s">
        <v>418</v>
      </c>
      <c r="E83" t="s">
        <v>419</v>
      </c>
      <c r="F83" t="s">
        <v>420</v>
      </c>
      <c r="G83" t="s">
        <v>416</v>
      </c>
      <c r="H83">
        <v>62</v>
      </c>
      <c r="I83">
        <v>614</v>
      </c>
      <c r="J83">
        <v>0.14000000000000001</v>
      </c>
      <c r="K83" t="s">
        <v>97</v>
      </c>
      <c r="L83" t="s">
        <v>421</v>
      </c>
      <c r="M83">
        <v>32738.48</v>
      </c>
      <c r="N83" t="s">
        <v>177</v>
      </c>
      <c r="O83" t="s">
        <v>93</v>
      </c>
    </row>
    <row r="84" spans="1:15">
      <c r="A84">
        <v>10083</v>
      </c>
      <c r="B84" s="1">
        <v>46246</v>
      </c>
      <c r="C84" s="1" t="s">
        <v>34</v>
      </c>
      <c r="D84" t="s">
        <v>422</v>
      </c>
      <c r="E84" t="s">
        <v>423</v>
      </c>
      <c r="F84" t="s">
        <v>424</v>
      </c>
      <c r="G84" t="s">
        <v>425</v>
      </c>
      <c r="H84">
        <v>52</v>
      </c>
      <c r="I84">
        <v>1764</v>
      </c>
      <c r="J84">
        <v>0.26</v>
      </c>
      <c r="K84" t="s">
        <v>181</v>
      </c>
      <c r="L84" t="s">
        <v>426</v>
      </c>
      <c r="M84">
        <v>67878.720000000001</v>
      </c>
      <c r="N84" t="s">
        <v>144</v>
      </c>
      <c r="O84" t="s">
        <v>86</v>
      </c>
    </row>
    <row r="85" spans="1:15">
      <c r="A85">
        <v>10084</v>
      </c>
      <c r="B85" s="1">
        <v>46105</v>
      </c>
      <c r="C85" s="1" t="s">
        <v>14</v>
      </c>
      <c r="D85" t="s">
        <v>427</v>
      </c>
      <c r="E85" t="s">
        <v>428</v>
      </c>
      <c r="F85" t="s">
        <v>429</v>
      </c>
      <c r="G85" t="s">
        <v>430</v>
      </c>
      <c r="H85">
        <v>42</v>
      </c>
      <c r="I85">
        <v>680</v>
      </c>
      <c r="J85">
        <v>0.44</v>
      </c>
      <c r="K85" t="s">
        <v>83</v>
      </c>
      <c r="L85" t="s">
        <v>431</v>
      </c>
      <c r="M85">
        <v>15993.6</v>
      </c>
      <c r="N85" t="s">
        <v>99</v>
      </c>
      <c r="O85" t="s">
        <v>139</v>
      </c>
    </row>
    <row r="86" spans="1:15">
      <c r="A86">
        <v>10085</v>
      </c>
      <c r="B86" s="1">
        <v>46371</v>
      </c>
      <c r="C86" s="1" t="s">
        <v>50</v>
      </c>
      <c r="D86" t="s">
        <v>432</v>
      </c>
      <c r="E86" t="s">
        <v>433</v>
      </c>
      <c r="F86" t="s">
        <v>434</v>
      </c>
      <c r="G86" t="s">
        <v>430</v>
      </c>
      <c r="H86">
        <v>34</v>
      </c>
      <c r="I86">
        <v>883</v>
      </c>
      <c r="J86">
        <v>0.16</v>
      </c>
      <c r="K86" t="s">
        <v>181</v>
      </c>
      <c r="L86" t="s">
        <v>435</v>
      </c>
      <c r="M86">
        <v>25218.48</v>
      </c>
      <c r="N86" t="s">
        <v>199</v>
      </c>
      <c r="O86" t="s">
        <v>93</v>
      </c>
    </row>
    <row r="87" spans="1:15">
      <c r="A87">
        <v>10086</v>
      </c>
      <c r="B87" s="1">
        <v>46099</v>
      </c>
      <c r="C87" s="1" t="s">
        <v>14</v>
      </c>
      <c r="D87" t="s">
        <v>436</v>
      </c>
      <c r="E87" t="s">
        <v>437</v>
      </c>
      <c r="F87" t="s">
        <v>438</v>
      </c>
      <c r="G87" t="s">
        <v>439</v>
      </c>
      <c r="H87">
        <v>18</v>
      </c>
      <c r="I87">
        <v>640</v>
      </c>
      <c r="J87">
        <v>0.4</v>
      </c>
      <c r="K87" t="s">
        <v>55</v>
      </c>
      <c r="L87" t="s">
        <v>440</v>
      </c>
      <c r="M87">
        <v>6912</v>
      </c>
      <c r="N87" t="s">
        <v>99</v>
      </c>
      <c r="O87" t="s">
        <v>86</v>
      </c>
    </row>
    <row r="88" spans="1:15">
      <c r="A88">
        <v>10087</v>
      </c>
      <c r="B88" s="1">
        <v>46200</v>
      </c>
      <c r="C88" s="1" t="s">
        <v>26</v>
      </c>
      <c r="D88" t="s">
        <v>441</v>
      </c>
      <c r="E88" t="s">
        <v>442</v>
      </c>
      <c r="F88" t="s">
        <v>443</v>
      </c>
      <c r="G88" t="s">
        <v>439</v>
      </c>
      <c r="H88">
        <v>33</v>
      </c>
      <c r="I88">
        <v>1858</v>
      </c>
      <c r="J88">
        <v>0.32</v>
      </c>
      <c r="K88" t="s">
        <v>97</v>
      </c>
      <c r="L88" t="s">
        <v>444</v>
      </c>
      <c r="M88">
        <v>41693.519999999997</v>
      </c>
      <c r="N88" t="s">
        <v>92</v>
      </c>
      <c r="O88" t="s">
        <v>86</v>
      </c>
    </row>
    <row r="89" spans="1:15">
      <c r="A89">
        <v>10088</v>
      </c>
      <c r="B89" s="1">
        <v>46165</v>
      </c>
      <c r="C89" s="1" t="s">
        <v>22</v>
      </c>
      <c r="D89" t="s">
        <v>445</v>
      </c>
      <c r="E89" t="s">
        <v>446</v>
      </c>
      <c r="F89" t="s">
        <v>447</v>
      </c>
      <c r="G89" t="s">
        <v>439</v>
      </c>
      <c r="H89">
        <v>40</v>
      </c>
      <c r="I89">
        <v>1805</v>
      </c>
      <c r="J89">
        <v>0.48</v>
      </c>
      <c r="K89" t="s">
        <v>181</v>
      </c>
      <c r="L89" t="s">
        <v>448</v>
      </c>
      <c r="M89">
        <v>37544</v>
      </c>
      <c r="N89" t="s">
        <v>85</v>
      </c>
      <c r="O89" t="s">
        <v>139</v>
      </c>
    </row>
    <row r="90" spans="1:15">
      <c r="A90">
        <v>10089</v>
      </c>
      <c r="B90" s="1">
        <v>46329</v>
      </c>
      <c r="C90" s="1" t="s">
        <v>46</v>
      </c>
      <c r="D90" t="s">
        <v>449</v>
      </c>
      <c r="E90" t="s">
        <v>450</v>
      </c>
      <c r="F90" t="s">
        <v>451</v>
      </c>
      <c r="G90" t="s">
        <v>439</v>
      </c>
      <c r="H90">
        <v>64</v>
      </c>
      <c r="I90">
        <v>1570</v>
      </c>
      <c r="J90">
        <v>0.1</v>
      </c>
      <c r="K90" t="s">
        <v>175</v>
      </c>
      <c r="L90" t="s">
        <v>452</v>
      </c>
      <c r="M90">
        <v>90432</v>
      </c>
      <c r="N90" t="s">
        <v>149</v>
      </c>
      <c r="O90" t="s">
        <v>93</v>
      </c>
    </row>
    <row r="91" spans="1:15">
      <c r="A91">
        <v>10090</v>
      </c>
      <c r="B91" s="1">
        <v>46210</v>
      </c>
      <c r="C91" s="1" t="s">
        <v>30</v>
      </c>
      <c r="D91" t="s">
        <v>453</v>
      </c>
      <c r="E91" t="s">
        <v>454</v>
      </c>
      <c r="F91" t="s">
        <v>455</v>
      </c>
      <c r="G91" t="s">
        <v>55</v>
      </c>
      <c r="H91">
        <v>3</v>
      </c>
      <c r="I91">
        <v>317</v>
      </c>
      <c r="J91">
        <v>0.44</v>
      </c>
      <c r="K91" t="s">
        <v>175</v>
      </c>
      <c r="L91" t="s">
        <v>456</v>
      </c>
      <c r="M91">
        <v>532.56000000000006</v>
      </c>
      <c r="N91" t="s">
        <v>208</v>
      </c>
      <c r="O91" t="s">
        <v>139</v>
      </c>
    </row>
    <row r="92" spans="1:15">
      <c r="A92">
        <v>10091</v>
      </c>
      <c r="B92" s="1">
        <v>46146</v>
      </c>
      <c r="C92" s="1" t="s">
        <v>22</v>
      </c>
      <c r="D92" t="s">
        <v>457</v>
      </c>
      <c r="E92" t="s">
        <v>458</v>
      </c>
      <c r="F92" t="s">
        <v>459</v>
      </c>
      <c r="G92" t="s">
        <v>460</v>
      </c>
      <c r="H92">
        <v>10</v>
      </c>
      <c r="I92">
        <v>784</v>
      </c>
      <c r="J92">
        <v>0.43</v>
      </c>
      <c r="K92" t="s">
        <v>181</v>
      </c>
      <c r="L92" t="s">
        <v>461</v>
      </c>
      <c r="M92">
        <v>4468.8</v>
      </c>
      <c r="N92" t="s">
        <v>85</v>
      </c>
      <c r="O92" t="s">
        <v>139</v>
      </c>
    </row>
    <row r="93" spans="1:15">
      <c r="A93">
        <v>10092</v>
      </c>
      <c r="B93" s="1">
        <v>46226</v>
      </c>
      <c r="C93" s="1" t="s">
        <v>30</v>
      </c>
      <c r="D93" t="s">
        <v>462</v>
      </c>
      <c r="E93" t="s">
        <v>463</v>
      </c>
      <c r="F93" t="s">
        <v>464</v>
      </c>
      <c r="G93" t="s">
        <v>460</v>
      </c>
      <c r="H93">
        <v>13</v>
      </c>
      <c r="I93">
        <v>1440</v>
      </c>
      <c r="J93">
        <v>0.45</v>
      </c>
      <c r="K93" t="s">
        <v>83</v>
      </c>
      <c r="L93" t="s">
        <v>465</v>
      </c>
      <c r="M93">
        <v>10296</v>
      </c>
      <c r="N93" t="s">
        <v>208</v>
      </c>
      <c r="O93" t="s">
        <v>139</v>
      </c>
    </row>
    <row r="94" spans="1:15">
      <c r="A94">
        <v>10093</v>
      </c>
      <c r="B94" s="1">
        <v>46036</v>
      </c>
      <c r="C94" s="1" t="s">
        <v>6</v>
      </c>
      <c r="D94" t="s">
        <v>466</v>
      </c>
      <c r="E94" t="s">
        <v>467</v>
      </c>
      <c r="F94" t="s">
        <v>468</v>
      </c>
      <c r="G94" t="s">
        <v>469</v>
      </c>
      <c r="H94">
        <v>81</v>
      </c>
      <c r="I94">
        <v>173</v>
      </c>
      <c r="J94">
        <v>0.48</v>
      </c>
      <c r="K94" t="s">
        <v>175</v>
      </c>
      <c r="L94" t="s">
        <v>470</v>
      </c>
      <c r="M94">
        <v>7286.76</v>
      </c>
      <c r="N94" t="s">
        <v>107</v>
      </c>
      <c r="O94" t="s">
        <v>139</v>
      </c>
    </row>
    <row r="95" spans="1:15">
      <c r="A95">
        <v>10094</v>
      </c>
      <c r="B95" s="1">
        <v>46042</v>
      </c>
      <c r="C95" s="1" t="s">
        <v>6</v>
      </c>
      <c r="D95" t="s">
        <v>471</v>
      </c>
      <c r="E95" t="s">
        <v>472</v>
      </c>
      <c r="F95" t="s">
        <v>473</v>
      </c>
      <c r="G95" t="s">
        <v>469</v>
      </c>
      <c r="H95">
        <v>3</v>
      </c>
      <c r="I95">
        <v>1980</v>
      </c>
      <c r="J95">
        <v>0.32</v>
      </c>
      <c r="K95" t="s">
        <v>83</v>
      </c>
      <c r="L95" t="s">
        <v>474</v>
      </c>
      <c r="M95">
        <v>4039.2</v>
      </c>
      <c r="N95" t="s">
        <v>107</v>
      </c>
      <c r="O95" t="s">
        <v>86</v>
      </c>
    </row>
    <row r="96" spans="1:15">
      <c r="A96">
        <v>10095</v>
      </c>
      <c r="B96" s="1">
        <v>46031</v>
      </c>
      <c r="C96" s="1" t="s">
        <v>6</v>
      </c>
      <c r="D96" t="s">
        <v>475</v>
      </c>
      <c r="E96" t="s">
        <v>476</v>
      </c>
      <c r="F96" t="s">
        <v>477</v>
      </c>
      <c r="G96" t="s">
        <v>460</v>
      </c>
      <c r="H96">
        <v>99</v>
      </c>
      <c r="I96">
        <v>438</v>
      </c>
      <c r="J96">
        <v>0.15</v>
      </c>
      <c r="K96" t="s">
        <v>83</v>
      </c>
      <c r="L96" t="s">
        <v>478</v>
      </c>
      <c r="M96">
        <v>36857.699999999997</v>
      </c>
      <c r="N96" t="s">
        <v>107</v>
      </c>
      <c r="O96" t="s">
        <v>93</v>
      </c>
    </row>
    <row r="97" spans="1:15">
      <c r="A97">
        <v>10096</v>
      </c>
      <c r="B97" s="1">
        <v>46073</v>
      </c>
      <c r="C97" s="1" t="s">
        <v>10</v>
      </c>
      <c r="D97" t="s">
        <v>479</v>
      </c>
      <c r="E97" t="s">
        <v>480</v>
      </c>
      <c r="F97" t="s">
        <v>481</v>
      </c>
      <c r="G97" t="s">
        <v>460</v>
      </c>
      <c r="H97">
        <v>64</v>
      </c>
      <c r="I97">
        <v>1889</v>
      </c>
      <c r="J97">
        <v>0.22</v>
      </c>
      <c r="K97" t="s">
        <v>175</v>
      </c>
      <c r="L97" t="s">
        <v>482</v>
      </c>
      <c r="M97">
        <v>94298.880000000005</v>
      </c>
      <c r="N97" t="s">
        <v>249</v>
      </c>
      <c r="O97" t="s">
        <v>86</v>
      </c>
    </row>
    <row r="98" spans="1:15">
      <c r="A98">
        <v>10097</v>
      </c>
      <c r="B98" s="1">
        <v>46254</v>
      </c>
      <c r="C98" s="1" t="s">
        <v>34</v>
      </c>
      <c r="D98" t="s">
        <v>483</v>
      </c>
      <c r="E98" t="s">
        <v>484</v>
      </c>
      <c r="F98" t="s">
        <v>485</v>
      </c>
      <c r="G98" t="s">
        <v>460</v>
      </c>
      <c r="H98">
        <v>50</v>
      </c>
      <c r="I98">
        <v>1415</v>
      </c>
      <c r="J98">
        <v>0.3</v>
      </c>
      <c r="K98" t="s">
        <v>83</v>
      </c>
      <c r="L98" t="s">
        <v>486</v>
      </c>
      <c r="M98">
        <v>49525</v>
      </c>
      <c r="N98" t="s">
        <v>144</v>
      </c>
      <c r="O98" t="s">
        <v>86</v>
      </c>
    </row>
    <row r="99" spans="1:15">
      <c r="A99">
        <v>10098</v>
      </c>
      <c r="B99" s="1">
        <v>46205</v>
      </c>
      <c r="C99" s="1" t="s">
        <v>30</v>
      </c>
      <c r="D99" t="s">
        <v>487</v>
      </c>
      <c r="E99" t="s">
        <v>39</v>
      </c>
      <c r="F99" t="s">
        <v>488</v>
      </c>
      <c r="G99" t="s">
        <v>460</v>
      </c>
      <c r="H99">
        <v>85</v>
      </c>
      <c r="I99">
        <v>1882</v>
      </c>
      <c r="J99">
        <v>0.3</v>
      </c>
      <c r="K99" t="s">
        <v>83</v>
      </c>
      <c r="L99" t="s">
        <v>489</v>
      </c>
      <c r="M99">
        <v>111979</v>
      </c>
      <c r="N99" t="s">
        <v>208</v>
      </c>
      <c r="O99" t="s">
        <v>86</v>
      </c>
    </row>
    <row r="100" spans="1:15">
      <c r="A100">
        <v>10099</v>
      </c>
      <c r="B100" s="1">
        <v>46279</v>
      </c>
      <c r="C100" s="1" t="s">
        <v>38</v>
      </c>
      <c r="D100" t="s">
        <v>490</v>
      </c>
      <c r="E100" t="s">
        <v>491</v>
      </c>
      <c r="F100" t="s">
        <v>492</v>
      </c>
      <c r="G100" t="s">
        <v>493</v>
      </c>
      <c r="H100">
        <v>39</v>
      </c>
      <c r="I100">
        <v>1827</v>
      </c>
      <c r="J100">
        <v>0.12</v>
      </c>
      <c r="K100" t="s">
        <v>83</v>
      </c>
      <c r="L100" t="s">
        <v>494</v>
      </c>
      <c r="M100">
        <v>62702.64</v>
      </c>
      <c r="N100" t="s">
        <v>138</v>
      </c>
      <c r="O100" t="s">
        <v>93</v>
      </c>
    </row>
    <row r="101" spans="1:15">
      <c r="A101">
        <v>10100</v>
      </c>
      <c r="B101" s="1">
        <v>46197</v>
      </c>
      <c r="C101" s="1" t="s">
        <v>26</v>
      </c>
      <c r="D101" t="s">
        <v>495</v>
      </c>
      <c r="E101" t="s">
        <v>496</v>
      </c>
      <c r="F101" t="s">
        <v>497</v>
      </c>
      <c r="G101" t="s">
        <v>493</v>
      </c>
      <c r="H101">
        <v>7</v>
      </c>
      <c r="I101">
        <v>487</v>
      </c>
      <c r="J101">
        <v>0.2</v>
      </c>
      <c r="K101" t="s">
        <v>181</v>
      </c>
      <c r="L101" t="s">
        <v>498</v>
      </c>
      <c r="M101">
        <v>2727.2</v>
      </c>
      <c r="N101" t="s">
        <v>92</v>
      </c>
      <c r="O101" t="s">
        <v>93</v>
      </c>
    </row>
    <row r="102" spans="1:15">
      <c r="A102">
        <v>10101</v>
      </c>
      <c r="B102" s="1">
        <v>46119</v>
      </c>
      <c r="C102" s="1" t="s">
        <v>18</v>
      </c>
      <c r="D102" t="s">
        <v>499</v>
      </c>
      <c r="E102" t="s">
        <v>500</v>
      </c>
      <c r="F102" t="s">
        <v>501</v>
      </c>
      <c r="G102" t="s">
        <v>67</v>
      </c>
      <c r="H102">
        <v>61</v>
      </c>
      <c r="I102">
        <v>897</v>
      </c>
      <c r="J102">
        <v>0.34</v>
      </c>
      <c r="K102" t="s">
        <v>175</v>
      </c>
      <c r="L102" t="s">
        <v>502</v>
      </c>
      <c r="M102">
        <v>36113.219999999987</v>
      </c>
      <c r="N102" t="s">
        <v>125</v>
      </c>
      <c r="O102" t="s">
        <v>86</v>
      </c>
    </row>
    <row r="103" spans="1:15">
      <c r="A103">
        <v>10102</v>
      </c>
      <c r="B103" s="1">
        <v>46196</v>
      </c>
      <c r="C103" s="1" t="s">
        <v>26</v>
      </c>
      <c r="D103" t="s">
        <v>503</v>
      </c>
      <c r="E103" t="s">
        <v>504</v>
      </c>
      <c r="F103" t="s">
        <v>505</v>
      </c>
      <c r="G103" t="s">
        <v>67</v>
      </c>
      <c r="H103">
        <v>79</v>
      </c>
      <c r="I103">
        <v>868</v>
      </c>
      <c r="J103">
        <v>0.35</v>
      </c>
      <c r="K103" t="s">
        <v>83</v>
      </c>
      <c r="L103" t="s">
        <v>506</v>
      </c>
      <c r="M103">
        <v>44571.8</v>
      </c>
      <c r="N103" t="s">
        <v>92</v>
      </c>
      <c r="O103" t="s">
        <v>86</v>
      </c>
    </row>
    <row r="104" spans="1:15">
      <c r="A104">
        <v>10103</v>
      </c>
      <c r="B104" s="1">
        <v>46344</v>
      </c>
      <c r="C104" s="1" t="s">
        <v>46</v>
      </c>
      <c r="D104" t="s">
        <v>507</v>
      </c>
      <c r="E104" t="s">
        <v>508</v>
      </c>
      <c r="F104" t="s">
        <v>509</v>
      </c>
      <c r="G104" t="s">
        <v>67</v>
      </c>
      <c r="H104">
        <v>73</v>
      </c>
      <c r="I104">
        <v>1452</v>
      </c>
      <c r="J104">
        <v>0.23</v>
      </c>
      <c r="K104" t="s">
        <v>83</v>
      </c>
      <c r="L104" t="s">
        <v>510</v>
      </c>
      <c r="M104">
        <v>81616.92</v>
      </c>
      <c r="N104" t="s">
        <v>149</v>
      </c>
      <c r="O104" t="s">
        <v>86</v>
      </c>
    </row>
    <row r="105" spans="1:15">
      <c r="A105">
        <v>10104</v>
      </c>
      <c r="B105" s="1">
        <v>46106</v>
      </c>
      <c r="C105" s="1" t="s">
        <v>14</v>
      </c>
      <c r="D105" t="s">
        <v>511</v>
      </c>
      <c r="E105" t="s">
        <v>512</v>
      </c>
      <c r="F105" t="s">
        <v>513</v>
      </c>
      <c r="G105" t="s">
        <v>67</v>
      </c>
      <c r="H105">
        <v>73</v>
      </c>
      <c r="I105">
        <v>1968</v>
      </c>
      <c r="J105">
        <v>0.21</v>
      </c>
      <c r="K105" t="s">
        <v>97</v>
      </c>
      <c r="L105" t="s">
        <v>514</v>
      </c>
      <c r="M105">
        <v>113494.56</v>
      </c>
      <c r="N105" t="s">
        <v>99</v>
      </c>
      <c r="O105" t="s">
        <v>86</v>
      </c>
    </row>
    <row r="106" spans="1:15">
      <c r="A106">
        <v>10105</v>
      </c>
      <c r="B106" s="1">
        <v>46048</v>
      </c>
      <c r="C106" s="1" t="s">
        <v>6</v>
      </c>
      <c r="D106" t="s">
        <v>515</v>
      </c>
      <c r="E106" t="s">
        <v>122</v>
      </c>
      <c r="F106" t="s">
        <v>516</v>
      </c>
      <c r="G106" t="s">
        <v>67</v>
      </c>
      <c r="H106">
        <v>58</v>
      </c>
      <c r="I106">
        <v>1078</v>
      </c>
      <c r="J106">
        <v>0.31</v>
      </c>
      <c r="K106" t="s">
        <v>181</v>
      </c>
      <c r="L106" t="s">
        <v>517</v>
      </c>
      <c r="M106">
        <v>43141.56</v>
      </c>
      <c r="N106" t="s">
        <v>107</v>
      </c>
      <c r="O106" t="s">
        <v>86</v>
      </c>
    </row>
    <row r="107" spans="1:15">
      <c r="A107">
        <v>10106</v>
      </c>
      <c r="B107" s="1">
        <v>46124</v>
      </c>
      <c r="C107" s="1" t="s">
        <v>18</v>
      </c>
      <c r="D107" t="s">
        <v>518</v>
      </c>
      <c r="E107" t="s">
        <v>168</v>
      </c>
      <c r="F107" t="s">
        <v>519</v>
      </c>
      <c r="G107" t="s">
        <v>67</v>
      </c>
      <c r="H107">
        <v>77</v>
      </c>
      <c r="I107">
        <v>211</v>
      </c>
      <c r="J107">
        <v>0.47</v>
      </c>
      <c r="K107" t="s">
        <v>83</v>
      </c>
      <c r="L107" t="s">
        <v>520</v>
      </c>
      <c r="M107">
        <v>8610.91</v>
      </c>
      <c r="N107" t="s">
        <v>125</v>
      </c>
      <c r="O107" t="s">
        <v>139</v>
      </c>
    </row>
    <row r="108" spans="1:15">
      <c r="A108">
        <v>10107</v>
      </c>
      <c r="B108" s="1">
        <v>46297</v>
      </c>
      <c r="C108" s="1" t="s">
        <v>42</v>
      </c>
      <c r="D108" t="s">
        <v>521</v>
      </c>
      <c r="E108" t="s">
        <v>39</v>
      </c>
      <c r="F108" t="s">
        <v>522</v>
      </c>
      <c r="G108" t="s">
        <v>67</v>
      </c>
      <c r="H108">
        <v>3</v>
      </c>
      <c r="I108">
        <v>292</v>
      </c>
      <c r="J108">
        <v>0.2</v>
      </c>
      <c r="K108" t="s">
        <v>90</v>
      </c>
      <c r="L108" t="s">
        <v>523</v>
      </c>
      <c r="M108">
        <v>700.80000000000007</v>
      </c>
      <c r="N108" t="s">
        <v>177</v>
      </c>
      <c r="O108" t="s">
        <v>93</v>
      </c>
    </row>
    <row r="109" spans="1:15">
      <c r="A109">
        <v>10108</v>
      </c>
      <c r="B109" s="1">
        <v>46227</v>
      </c>
      <c r="C109" s="1" t="s">
        <v>30</v>
      </c>
      <c r="D109" t="s">
        <v>524</v>
      </c>
      <c r="E109" t="s">
        <v>525</v>
      </c>
      <c r="F109" t="s">
        <v>526</v>
      </c>
      <c r="G109" t="s">
        <v>527</v>
      </c>
      <c r="H109">
        <v>76</v>
      </c>
      <c r="I109">
        <v>1216</v>
      </c>
      <c r="J109">
        <v>0.23</v>
      </c>
      <c r="K109" t="s">
        <v>175</v>
      </c>
      <c r="L109" t="s">
        <v>528</v>
      </c>
      <c r="M109">
        <v>71160.320000000007</v>
      </c>
      <c r="N109" t="s">
        <v>208</v>
      </c>
      <c r="O109" t="s">
        <v>86</v>
      </c>
    </row>
    <row r="110" spans="1:15">
      <c r="A110">
        <v>10109</v>
      </c>
      <c r="B110" s="1">
        <v>46077</v>
      </c>
      <c r="C110" s="1" t="s">
        <v>10</v>
      </c>
      <c r="D110" t="s">
        <v>529</v>
      </c>
      <c r="E110" t="s">
        <v>530</v>
      </c>
      <c r="F110" t="s">
        <v>531</v>
      </c>
      <c r="G110" t="s">
        <v>527</v>
      </c>
      <c r="H110">
        <v>50</v>
      </c>
      <c r="I110">
        <v>1388</v>
      </c>
      <c r="J110">
        <v>0.5</v>
      </c>
      <c r="K110" t="s">
        <v>181</v>
      </c>
      <c r="L110" t="s">
        <v>532</v>
      </c>
      <c r="M110">
        <v>34700</v>
      </c>
      <c r="N110" t="s">
        <v>249</v>
      </c>
      <c r="O110" t="s">
        <v>139</v>
      </c>
    </row>
    <row r="111" spans="1:15">
      <c r="A111">
        <v>10110</v>
      </c>
      <c r="B111" s="1">
        <v>46145</v>
      </c>
      <c r="C111" s="1" t="s">
        <v>22</v>
      </c>
      <c r="D111" t="s">
        <v>533</v>
      </c>
      <c r="E111" t="s">
        <v>534</v>
      </c>
      <c r="F111" t="s">
        <v>535</v>
      </c>
      <c r="G111" t="s">
        <v>67</v>
      </c>
      <c r="H111">
        <v>59</v>
      </c>
      <c r="I111">
        <v>385</v>
      </c>
      <c r="J111">
        <v>0.39</v>
      </c>
      <c r="K111" t="s">
        <v>181</v>
      </c>
      <c r="L111" t="s">
        <v>536</v>
      </c>
      <c r="M111">
        <v>13856.15</v>
      </c>
      <c r="N111" t="s">
        <v>85</v>
      </c>
      <c r="O111" t="s">
        <v>86</v>
      </c>
    </row>
    <row r="112" spans="1:15">
      <c r="A112">
        <v>10111</v>
      </c>
      <c r="B112" s="1">
        <v>46039</v>
      </c>
      <c r="C112" s="1" t="s">
        <v>6</v>
      </c>
      <c r="D112" t="s">
        <v>537</v>
      </c>
      <c r="E112" t="s">
        <v>538</v>
      </c>
      <c r="F112" t="s">
        <v>539</v>
      </c>
      <c r="G112" t="s">
        <v>67</v>
      </c>
      <c r="H112">
        <v>77</v>
      </c>
      <c r="I112">
        <v>648</v>
      </c>
      <c r="J112">
        <v>0.17</v>
      </c>
      <c r="K112" t="s">
        <v>97</v>
      </c>
      <c r="L112" t="s">
        <v>540</v>
      </c>
      <c r="M112">
        <v>41413.68</v>
      </c>
      <c r="N112" t="s">
        <v>107</v>
      </c>
      <c r="O112" t="s">
        <v>93</v>
      </c>
    </row>
    <row r="113" spans="1:15">
      <c r="A113">
        <v>10112</v>
      </c>
      <c r="B113" s="1">
        <v>46359</v>
      </c>
      <c r="C113" s="1" t="s">
        <v>50</v>
      </c>
      <c r="D113" t="s">
        <v>541</v>
      </c>
      <c r="E113" t="s">
        <v>542</v>
      </c>
      <c r="F113" t="s">
        <v>543</v>
      </c>
      <c r="G113" t="s">
        <v>544</v>
      </c>
      <c r="H113">
        <v>98</v>
      </c>
      <c r="I113">
        <v>587</v>
      </c>
      <c r="J113">
        <v>0.23</v>
      </c>
      <c r="K113" t="s">
        <v>97</v>
      </c>
      <c r="L113" t="s">
        <v>545</v>
      </c>
      <c r="M113">
        <v>44295.02</v>
      </c>
      <c r="N113" t="s">
        <v>199</v>
      </c>
      <c r="O113" t="s">
        <v>86</v>
      </c>
    </row>
    <row r="114" spans="1:15">
      <c r="A114">
        <v>10113</v>
      </c>
      <c r="B114" s="1">
        <v>46370</v>
      </c>
      <c r="C114" s="1" t="s">
        <v>50</v>
      </c>
      <c r="D114" t="s">
        <v>546</v>
      </c>
      <c r="E114" t="s">
        <v>547</v>
      </c>
      <c r="F114" t="s">
        <v>548</v>
      </c>
      <c r="G114" t="s">
        <v>544</v>
      </c>
      <c r="H114">
        <v>74</v>
      </c>
      <c r="I114">
        <v>929</v>
      </c>
      <c r="J114">
        <v>0.46</v>
      </c>
      <c r="K114" t="s">
        <v>181</v>
      </c>
      <c r="L114" t="s">
        <v>549</v>
      </c>
      <c r="M114">
        <v>37122.839999999997</v>
      </c>
      <c r="N114" t="s">
        <v>199</v>
      </c>
      <c r="O114" t="s">
        <v>139</v>
      </c>
    </row>
    <row r="115" spans="1:15">
      <c r="A115">
        <v>10114</v>
      </c>
      <c r="B115" s="1">
        <v>46115</v>
      </c>
      <c r="C115" s="1" t="s">
        <v>18</v>
      </c>
      <c r="D115" t="s">
        <v>550</v>
      </c>
      <c r="E115" t="s">
        <v>551</v>
      </c>
      <c r="F115" t="s">
        <v>552</v>
      </c>
      <c r="G115" t="s">
        <v>553</v>
      </c>
      <c r="H115">
        <v>95</v>
      </c>
      <c r="I115">
        <v>1271</v>
      </c>
      <c r="J115">
        <v>0.46</v>
      </c>
      <c r="K115" t="s">
        <v>175</v>
      </c>
      <c r="L115" t="s">
        <v>554</v>
      </c>
      <c r="M115">
        <v>65202.3</v>
      </c>
      <c r="N115" t="s">
        <v>125</v>
      </c>
      <c r="O115" t="s">
        <v>139</v>
      </c>
    </row>
    <row r="116" spans="1:15">
      <c r="A116">
        <v>10115</v>
      </c>
      <c r="B116" s="1">
        <v>46317</v>
      </c>
      <c r="C116" s="1" t="s">
        <v>42</v>
      </c>
      <c r="D116" t="s">
        <v>555</v>
      </c>
      <c r="E116" t="s">
        <v>556</v>
      </c>
      <c r="F116" t="s">
        <v>557</v>
      </c>
      <c r="G116" t="s">
        <v>553</v>
      </c>
      <c r="H116">
        <v>44</v>
      </c>
      <c r="I116">
        <v>728</v>
      </c>
      <c r="J116">
        <v>0.17</v>
      </c>
      <c r="K116" t="s">
        <v>83</v>
      </c>
      <c r="L116" t="s">
        <v>558</v>
      </c>
      <c r="M116">
        <v>26586.560000000001</v>
      </c>
      <c r="N116" t="s">
        <v>177</v>
      </c>
      <c r="O116" t="s">
        <v>93</v>
      </c>
    </row>
    <row r="117" spans="1:15">
      <c r="A117">
        <v>10116</v>
      </c>
      <c r="B117" s="1">
        <v>46055</v>
      </c>
      <c r="C117" s="1" t="s">
        <v>10</v>
      </c>
      <c r="D117" t="s">
        <v>559</v>
      </c>
      <c r="E117" t="s">
        <v>560</v>
      </c>
      <c r="F117" t="s">
        <v>561</v>
      </c>
      <c r="G117" t="s">
        <v>553</v>
      </c>
      <c r="H117">
        <v>54</v>
      </c>
      <c r="I117">
        <v>340</v>
      </c>
      <c r="J117">
        <v>0.47</v>
      </c>
      <c r="K117" t="s">
        <v>97</v>
      </c>
      <c r="L117" t="s">
        <v>562</v>
      </c>
      <c r="M117">
        <v>9730.8000000000011</v>
      </c>
      <c r="N117" t="s">
        <v>249</v>
      </c>
      <c r="O117" t="s">
        <v>139</v>
      </c>
    </row>
    <row r="118" spans="1:15">
      <c r="A118">
        <v>10117</v>
      </c>
      <c r="B118" s="1">
        <v>46374</v>
      </c>
      <c r="C118" s="1" t="s">
        <v>50</v>
      </c>
      <c r="D118" t="s">
        <v>563</v>
      </c>
      <c r="E118" t="s">
        <v>564</v>
      </c>
      <c r="F118" t="s">
        <v>565</v>
      </c>
      <c r="G118" t="s">
        <v>565</v>
      </c>
      <c r="H118">
        <v>32</v>
      </c>
      <c r="I118">
        <v>523</v>
      </c>
      <c r="J118">
        <v>0.43</v>
      </c>
      <c r="K118" t="s">
        <v>175</v>
      </c>
      <c r="L118" t="s">
        <v>566</v>
      </c>
      <c r="M118">
        <v>9539.52</v>
      </c>
      <c r="N118" t="s">
        <v>199</v>
      </c>
      <c r="O118" t="s">
        <v>139</v>
      </c>
    </row>
    <row r="119" spans="1:15">
      <c r="A119">
        <v>10118</v>
      </c>
      <c r="B119" s="1">
        <v>46381</v>
      </c>
      <c r="C119" s="1" t="s">
        <v>50</v>
      </c>
      <c r="D119" t="s">
        <v>567</v>
      </c>
      <c r="E119" t="s">
        <v>568</v>
      </c>
      <c r="F119" t="s">
        <v>569</v>
      </c>
      <c r="G119" t="s">
        <v>67</v>
      </c>
      <c r="H119">
        <v>100</v>
      </c>
      <c r="I119">
        <v>1339</v>
      </c>
      <c r="J119">
        <v>0.44</v>
      </c>
      <c r="K119" t="s">
        <v>175</v>
      </c>
      <c r="L119" t="s">
        <v>570</v>
      </c>
      <c r="M119">
        <v>74984</v>
      </c>
      <c r="N119" t="s">
        <v>199</v>
      </c>
      <c r="O119" t="s">
        <v>139</v>
      </c>
    </row>
    <row r="120" spans="1:15">
      <c r="A120">
        <v>10119</v>
      </c>
      <c r="B120" s="1">
        <v>46304</v>
      </c>
      <c r="C120" s="1" t="s">
        <v>42</v>
      </c>
      <c r="D120" t="s">
        <v>571</v>
      </c>
      <c r="E120" t="s">
        <v>572</v>
      </c>
      <c r="F120" t="s">
        <v>573</v>
      </c>
      <c r="G120" t="s">
        <v>67</v>
      </c>
      <c r="H120">
        <v>68</v>
      </c>
      <c r="I120">
        <v>1352</v>
      </c>
      <c r="J120">
        <v>0.19</v>
      </c>
      <c r="K120" t="s">
        <v>97</v>
      </c>
      <c r="L120" t="s">
        <v>574</v>
      </c>
      <c r="M120">
        <v>74468.160000000003</v>
      </c>
      <c r="N120" t="s">
        <v>177</v>
      </c>
      <c r="O120" t="s">
        <v>93</v>
      </c>
    </row>
    <row r="121" spans="1:15">
      <c r="A121">
        <v>10120</v>
      </c>
      <c r="B121" s="1">
        <v>46212</v>
      </c>
      <c r="C121" s="1" t="s">
        <v>30</v>
      </c>
      <c r="D121" t="s">
        <v>575</v>
      </c>
      <c r="E121" t="s">
        <v>576</v>
      </c>
      <c r="F121" t="s">
        <v>577</v>
      </c>
      <c r="G121" t="s">
        <v>578</v>
      </c>
      <c r="H121">
        <v>43</v>
      </c>
      <c r="I121">
        <v>305</v>
      </c>
      <c r="J121">
        <v>0.22</v>
      </c>
      <c r="K121" t="s">
        <v>97</v>
      </c>
      <c r="L121" t="s">
        <v>579</v>
      </c>
      <c r="M121">
        <v>10229.700000000001</v>
      </c>
      <c r="N121" t="s">
        <v>208</v>
      </c>
      <c r="O121" t="s">
        <v>86</v>
      </c>
    </row>
    <row r="122" spans="1:15">
      <c r="A122">
        <v>10121</v>
      </c>
      <c r="B122" s="1">
        <v>46059</v>
      </c>
      <c r="C122" s="1" t="s">
        <v>10</v>
      </c>
      <c r="D122" t="s">
        <v>580</v>
      </c>
      <c r="E122" t="s">
        <v>581</v>
      </c>
      <c r="F122" t="s">
        <v>582</v>
      </c>
      <c r="G122" t="s">
        <v>51</v>
      </c>
      <c r="H122">
        <v>23</v>
      </c>
      <c r="I122">
        <v>1810</v>
      </c>
      <c r="J122">
        <v>0.15</v>
      </c>
      <c r="K122" t="s">
        <v>90</v>
      </c>
      <c r="L122" t="s">
        <v>583</v>
      </c>
      <c r="M122">
        <v>35385.5</v>
      </c>
      <c r="N122" t="s">
        <v>249</v>
      </c>
      <c r="O122" t="s">
        <v>93</v>
      </c>
    </row>
    <row r="123" spans="1:15">
      <c r="A123">
        <v>10122</v>
      </c>
      <c r="B123" s="1">
        <v>46329</v>
      </c>
      <c r="C123" s="1" t="s">
        <v>46</v>
      </c>
      <c r="D123" t="s">
        <v>584</v>
      </c>
      <c r="E123" t="s">
        <v>585</v>
      </c>
      <c r="F123" t="s">
        <v>586</v>
      </c>
      <c r="G123" t="s">
        <v>51</v>
      </c>
      <c r="H123">
        <v>7</v>
      </c>
      <c r="I123">
        <v>1908</v>
      </c>
      <c r="J123">
        <v>0.49</v>
      </c>
      <c r="K123" t="s">
        <v>175</v>
      </c>
      <c r="L123" t="s">
        <v>587</v>
      </c>
      <c r="M123">
        <v>6811.56</v>
      </c>
      <c r="N123" t="s">
        <v>149</v>
      </c>
      <c r="O123" t="s">
        <v>139</v>
      </c>
    </row>
    <row r="124" spans="1:15">
      <c r="A124">
        <v>10123</v>
      </c>
      <c r="B124" s="1">
        <v>46184</v>
      </c>
      <c r="C124" s="1" t="s">
        <v>26</v>
      </c>
      <c r="D124" t="s">
        <v>588</v>
      </c>
      <c r="E124" t="s">
        <v>589</v>
      </c>
      <c r="F124" t="s">
        <v>590</v>
      </c>
      <c r="G124" t="s">
        <v>51</v>
      </c>
      <c r="H124">
        <v>53</v>
      </c>
      <c r="I124">
        <v>1341</v>
      </c>
      <c r="J124">
        <v>0.12</v>
      </c>
      <c r="K124" t="s">
        <v>181</v>
      </c>
      <c r="L124" t="s">
        <v>591</v>
      </c>
      <c r="M124">
        <v>62544.24</v>
      </c>
      <c r="N124" t="s">
        <v>92</v>
      </c>
      <c r="O124" t="s">
        <v>93</v>
      </c>
    </row>
    <row r="125" spans="1:15">
      <c r="A125">
        <v>10124</v>
      </c>
      <c r="B125" s="1">
        <v>46165</v>
      </c>
      <c r="C125" s="1" t="s">
        <v>22</v>
      </c>
      <c r="D125" t="s">
        <v>592</v>
      </c>
      <c r="E125" t="s">
        <v>593</v>
      </c>
      <c r="F125" t="s">
        <v>594</v>
      </c>
      <c r="G125" t="s">
        <v>51</v>
      </c>
      <c r="H125">
        <v>5</v>
      </c>
      <c r="I125">
        <v>1792</v>
      </c>
      <c r="J125">
        <v>0.19</v>
      </c>
      <c r="K125" t="s">
        <v>175</v>
      </c>
      <c r="L125" t="s">
        <v>595</v>
      </c>
      <c r="M125">
        <v>7257.6</v>
      </c>
      <c r="N125" t="s">
        <v>85</v>
      </c>
      <c r="O125" t="s">
        <v>93</v>
      </c>
    </row>
    <row r="126" spans="1:15">
      <c r="A126">
        <v>10125</v>
      </c>
      <c r="B126" s="1">
        <v>46179</v>
      </c>
      <c r="C126" s="1" t="s">
        <v>26</v>
      </c>
      <c r="D126" t="s">
        <v>596</v>
      </c>
      <c r="E126" t="s">
        <v>597</v>
      </c>
      <c r="F126" t="s">
        <v>598</v>
      </c>
      <c r="G126" t="s">
        <v>51</v>
      </c>
      <c r="H126">
        <v>5</v>
      </c>
      <c r="I126">
        <v>752</v>
      </c>
      <c r="J126">
        <v>0.1</v>
      </c>
      <c r="K126" t="s">
        <v>175</v>
      </c>
      <c r="L126" t="s">
        <v>599</v>
      </c>
      <c r="M126">
        <v>3384</v>
      </c>
      <c r="N126" t="s">
        <v>92</v>
      </c>
      <c r="O126" t="s">
        <v>93</v>
      </c>
    </row>
    <row r="127" spans="1:15">
      <c r="A127">
        <v>10126</v>
      </c>
      <c r="B127" s="1">
        <v>46138</v>
      </c>
      <c r="C127" s="1" t="s">
        <v>18</v>
      </c>
      <c r="D127" t="s">
        <v>600</v>
      </c>
      <c r="E127" t="s">
        <v>601</v>
      </c>
      <c r="F127" t="s">
        <v>602</v>
      </c>
      <c r="G127" t="s">
        <v>553</v>
      </c>
      <c r="H127">
        <v>7</v>
      </c>
      <c r="I127">
        <v>1248</v>
      </c>
      <c r="J127">
        <v>0.32</v>
      </c>
      <c r="K127" t="s">
        <v>97</v>
      </c>
      <c r="L127" t="s">
        <v>603</v>
      </c>
      <c r="M127">
        <v>5940.48</v>
      </c>
      <c r="N127" t="s">
        <v>125</v>
      </c>
      <c r="O127" t="s">
        <v>86</v>
      </c>
    </row>
    <row r="128" spans="1:15">
      <c r="A128">
        <v>10127</v>
      </c>
      <c r="B128" s="1">
        <v>46182</v>
      </c>
      <c r="C128" s="1" t="s">
        <v>26</v>
      </c>
      <c r="D128" t="s">
        <v>604</v>
      </c>
      <c r="E128" t="s">
        <v>605</v>
      </c>
      <c r="F128" t="s">
        <v>606</v>
      </c>
      <c r="G128" t="s">
        <v>578</v>
      </c>
      <c r="H128">
        <v>53</v>
      </c>
      <c r="I128">
        <v>1336</v>
      </c>
      <c r="J128">
        <v>0.22</v>
      </c>
      <c r="K128" t="s">
        <v>175</v>
      </c>
      <c r="L128" t="s">
        <v>607</v>
      </c>
      <c r="M128">
        <v>55230.240000000013</v>
      </c>
      <c r="N128" t="s">
        <v>92</v>
      </c>
      <c r="O128" t="s">
        <v>86</v>
      </c>
    </row>
    <row r="129" spans="1:15">
      <c r="A129">
        <v>10128</v>
      </c>
      <c r="B129" s="1">
        <v>46209</v>
      </c>
      <c r="C129" s="1" t="s">
        <v>30</v>
      </c>
      <c r="D129" t="s">
        <v>608</v>
      </c>
      <c r="E129" t="s">
        <v>609</v>
      </c>
      <c r="F129" t="s">
        <v>610</v>
      </c>
      <c r="G129" t="s">
        <v>578</v>
      </c>
      <c r="H129">
        <v>96</v>
      </c>
      <c r="I129">
        <v>1705</v>
      </c>
      <c r="J129">
        <v>0.28999999999999998</v>
      </c>
      <c r="K129" t="s">
        <v>97</v>
      </c>
      <c r="L129" t="s">
        <v>611</v>
      </c>
      <c r="M129">
        <v>116212.8</v>
      </c>
      <c r="N129" t="s">
        <v>208</v>
      </c>
      <c r="O129" t="s">
        <v>86</v>
      </c>
    </row>
    <row r="130" spans="1:15">
      <c r="A130">
        <v>10129</v>
      </c>
      <c r="B130" s="1">
        <v>46095</v>
      </c>
      <c r="C130" s="1" t="s">
        <v>14</v>
      </c>
      <c r="D130" t="s">
        <v>612</v>
      </c>
      <c r="E130" t="s">
        <v>613</v>
      </c>
      <c r="F130" t="s">
        <v>614</v>
      </c>
      <c r="G130" t="s">
        <v>578</v>
      </c>
      <c r="H130">
        <v>59</v>
      </c>
      <c r="I130">
        <v>1139</v>
      </c>
      <c r="J130">
        <v>0.22</v>
      </c>
      <c r="K130" t="s">
        <v>83</v>
      </c>
      <c r="L130" t="s">
        <v>615</v>
      </c>
      <c r="M130">
        <v>52416.78</v>
      </c>
      <c r="N130" t="s">
        <v>99</v>
      </c>
      <c r="O130" t="s">
        <v>86</v>
      </c>
    </row>
    <row r="131" spans="1:15">
      <c r="A131">
        <v>10130</v>
      </c>
      <c r="B131" s="1">
        <v>46153</v>
      </c>
      <c r="C131" s="1" t="s">
        <v>22</v>
      </c>
      <c r="D131" t="s">
        <v>616</v>
      </c>
      <c r="E131" t="s">
        <v>617</v>
      </c>
      <c r="F131" t="s">
        <v>618</v>
      </c>
      <c r="G131" t="s">
        <v>578</v>
      </c>
      <c r="H131">
        <v>29</v>
      </c>
      <c r="I131">
        <v>1816</v>
      </c>
      <c r="J131">
        <v>0.48</v>
      </c>
      <c r="K131" t="s">
        <v>175</v>
      </c>
      <c r="L131" t="s">
        <v>619</v>
      </c>
      <c r="M131">
        <v>27385.279999999999</v>
      </c>
      <c r="N131" t="s">
        <v>85</v>
      </c>
      <c r="O131" t="s">
        <v>139</v>
      </c>
    </row>
    <row r="132" spans="1:15">
      <c r="A132">
        <v>10131</v>
      </c>
      <c r="B132" s="1">
        <v>46181</v>
      </c>
      <c r="C132" s="1" t="s">
        <v>26</v>
      </c>
      <c r="D132" t="s">
        <v>620</v>
      </c>
      <c r="E132" t="s">
        <v>621</v>
      </c>
      <c r="F132" t="s">
        <v>622</v>
      </c>
      <c r="G132" t="s">
        <v>623</v>
      </c>
      <c r="H132">
        <v>5</v>
      </c>
      <c r="I132">
        <v>590</v>
      </c>
      <c r="J132">
        <v>0.31</v>
      </c>
      <c r="K132" t="s">
        <v>97</v>
      </c>
      <c r="L132" t="s">
        <v>624</v>
      </c>
      <c r="M132">
        <v>2035.5</v>
      </c>
      <c r="N132" t="s">
        <v>92</v>
      </c>
      <c r="O132" t="s">
        <v>86</v>
      </c>
    </row>
    <row r="133" spans="1:15">
      <c r="A133">
        <v>10132</v>
      </c>
      <c r="B133" s="1">
        <v>46276</v>
      </c>
      <c r="C133" s="1" t="s">
        <v>38</v>
      </c>
      <c r="D133" t="s">
        <v>625</v>
      </c>
      <c r="E133" t="s">
        <v>626</v>
      </c>
      <c r="F133" t="s">
        <v>627</v>
      </c>
      <c r="G133" t="s">
        <v>623</v>
      </c>
      <c r="H133">
        <v>37</v>
      </c>
      <c r="I133">
        <v>519</v>
      </c>
      <c r="J133">
        <v>0.46</v>
      </c>
      <c r="K133" t="s">
        <v>181</v>
      </c>
      <c r="L133" t="s">
        <v>628</v>
      </c>
      <c r="M133">
        <v>10369.620000000001</v>
      </c>
      <c r="N133" t="s">
        <v>138</v>
      </c>
      <c r="O133" t="s">
        <v>139</v>
      </c>
    </row>
    <row r="134" spans="1:15">
      <c r="A134">
        <v>10133</v>
      </c>
      <c r="B134" s="1">
        <v>46086</v>
      </c>
      <c r="C134" s="1" t="s">
        <v>14</v>
      </c>
      <c r="D134" t="s">
        <v>629</v>
      </c>
      <c r="E134" t="s">
        <v>630</v>
      </c>
      <c r="F134" t="s">
        <v>49</v>
      </c>
      <c r="G134" t="s">
        <v>32</v>
      </c>
      <c r="H134">
        <v>73</v>
      </c>
      <c r="I134">
        <v>1932</v>
      </c>
      <c r="J134">
        <v>0.47</v>
      </c>
      <c r="K134" t="s">
        <v>90</v>
      </c>
      <c r="L134" t="s">
        <v>631</v>
      </c>
      <c r="M134">
        <v>74749.08</v>
      </c>
      <c r="N134" t="s">
        <v>99</v>
      </c>
      <c r="O134" t="s">
        <v>139</v>
      </c>
    </row>
    <row r="135" spans="1:15">
      <c r="A135">
        <v>10134</v>
      </c>
      <c r="B135" s="1">
        <v>46143</v>
      </c>
      <c r="C135" s="1" t="s">
        <v>22</v>
      </c>
      <c r="D135" t="s">
        <v>632</v>
      </c>
      <c r="E135" t="s">
        <v>633</v>
      </c>
      <c r="F135" t="s">
        <v>634</v>
      </c>
      <c r="G135" t="s">
        <v>32</v>
      </c>
      <c r="H135">
        <v>60</v>
      </c>
      <c r="I135">
        <v>1533</v>
      </c>
      <c r="J135">
        <v>0.28000000000000003</v>
      </c>
      <c r="K135" t="s">
        <v>97</v>
      </c>
      <c r="L135" t="s">
        <v>635</v>
      </c>
      <c r="M135">
        <v>66225.599999999991</v>
      </c>
      <c r="N135" t="s">
        <v>85</v>
      </c>
      <c r="O135" t="s">
        <v>86</v>
      </c>
    </row>
    <row r="136" spans="1:15">
      <c r="A136">
        <v>10135</v>
      </c>
      <c r="B136" s="1">
        <v>46327</v>
      </c>
      <c r="C136" s="1" t="s">
        <v>46</v>
      </c>
      <c r="D136" t="s">
        <v>636</v>
      </c>
      <c r="E136" t="s">
        <v>637</v>
      </c>
      <c r="F136" t="s">
        <v>638</v>
      </c>
      <c r="G136" t="s">
        <v>578</v>
      </c>
      <c r="H136">
        <v>23</v>
      </c>
      <c r="I136">
        <v>1849</v>
      </c>
      <c r="J136">
        <v>0.19</v>
      </c>
      <c r="K136" t="s">
        <v>97</v>
      </c>
      <c r="L136" t="s">
        <v>639</v>
      </c>
      <c r="M136">
        <v>34446.870000000003</v>
      </c>
      <c r="N136" t="s">
        <v>149</v>
      </c>
      <c r="O136" t="s">
        <v>93</v>
      </c>
    </row>
    <row r="137" spans="1:15">
      <c r="A137">
        <v>10136</v>
      </c>
      <c r="B137" s="1">
        <v>46128</v>
      </c>
      <c r="C137" s="1" t="s">
        <v>18</v>
      </c>
      <c r="D137" t="s">
        <v>640</v>
      </c>
      <c r="E137" t="s">
        <v>641</v>
      </c>
      <c r="F137" t="s">
        <v>642</v>
      </c>
      <c r="G137" t="s">
        <v>643</v>
      </c>
      <c r="H137">
        <v>95</v>
      </c>
      <c r="I137">
        <v>176</v>
      </c>
      <c r="J137">
        <v>0.33</v>
      </c>
      <c r="K137" t="s">
        <v>175</v>
      </c>
      <c r="L137" t="s">
        <v>644</v>
      </c>
      <c r="M137">
        <v>11202.4</v>
      </c>
      <c r="N137" t="s">
        <v>125</v>
      </c>
      <c r="O137" t="s">
        <v>86</v>
      </c>
    </row>
    <row r="138" spans="1:15">
      <c r="A138">
        <v>10137</v>
      </c>
      <c r="B138" s="1">
        <v>46055</v>
      </c>
      <c r="C138" s="1" t="s">
        <v>10</v>
      </c>
      <c r="D138" t="s">
        <v>645</v>
      </c>
      <c r="E138" t="s">
        <v>646</v>
      </c>
      <c r="F138" t="s">
        <v>647</v>
      </c>
      <c r="G138" t="s">
        <v>648</v>
      </c>
      <c r="H138">
        <v>68</v>
      </c>
      <c r="I138">
        <v>1473</v>
      </c>
      <c r="J138">
        <v>0.2</v>
      </c>
      <c r="K138" t="s">
        <v>181</v>
      </c>
      <c r="L138" t="s">
        <v>649</v>
      </c>
      <c r="M138">
        <v>80131.200000000012</v>
      </c>
      <c r="N138" t="s">
        <v>249</v>
      </c>
      <c r="O138" t="s">
        <v>93</v>
      </c>
    </row>
    <row r="139" spans="1:15">
      <c r="A139">
        <v>10138</v>
      </c>
      <c r="B139" s="1">
        <v>46035</v>
      </c>
      <c r="C139" s="1" t="s">
        <v>6</v>
      </c>
      <c r="D139" t="s">
        <v>650</v>
      </c>
      <c r="E139" t="s">
        <v>651</v>
      </c>
      <c r="F139" t="s">
        <v>652</v>
      </c>
      <c r="G139" t="s">
        <v>40</v>
      </c>
      <c r="H139">
        <v>49</v>
      </c>
      <c r="I139">
        <v>1787</v>
      </c>
      <c r="J139">
        <v>0.28000000000000003</v>
      </c>
      <c r="K139" t="s">
        <v>97</v>
      </c>
      <c r="L139" t="s">
        <v>653</v>
      </c>
      <c r="M139">
        <v>63045.36</v>
      </c>
      <c r="N139" t="s">
        <v>107</v>
      </c>
      <c r="O139" t="s">
        <v>86</v>
      </c>
    </row>
    <row r="140" spans="1:15">
      <c r="A140">
        <v>10139</v>
      </c>
      <c r="B140" s="1">
        <v>46031</v>
      </c>
      <c r="C140" s="1" t="s">
        <v>6</v>
      </c>
      <c r="D140" t="s">
        <v>654</v>
      </c>
      <c r="E140" t="s">
        <v>655</v>
      </c>
      <c r="F140" t="s">
        <v>17</v>
      </c>
      <c r="G140" t="s">
        <v>40</v>
      </c>
      <c r="H140">
        <v>65</v>
      </c>
      <c r="I140">
        <v>1216</v>
      </c>
      <c r="J140">
        <v>0.28000000000000003</v>
      </c>
      <c r="K140" t="s">
        <v>90</v>
      </c>
      <c r="L140" t="s">
        <v>656</v>
      </c>
      <c r="M140">
        <v>56908.800000000003</v>
      </c>
      <c r="N140" t="s">
        <v>107</v>
      </c>
      <c r="O140" t="s">
        <v>86</v>
      </c>
    </row>
    <row r="141" spans="1:15">
      <c r="A141">
        <v>10140</v>
      </c>
      <c r="B141" s="1">
        <v>46159</v>
      </c>
      <c r="C141" s="1" t="s">
        <v>22</v>
      </c>
      <c r="D141" t="s">
        <v>657</v>
      </c>
      <c r="E141" t="s">
        <v>658</v>
      </c>
      <c r="F141" t="s">
        <v>659</v>
      </c>
      <c r="G141" t="s">
        <v>40</v>
      </c>
      <c r="H141">
        <v>49</v>
      </c>
      <c r="I141">
        <v>807</v>
      </c>
      <c r="J141">
        <v>0.34</v>
      </c>
      <c r="K141" t="s">
        <v>97</v>
      </c>
      <c r="L141" t="s">
        <v>660</v>
      </c>
      <c r="M141">
        <v>26098.38</v>
      </c>
      <c r="N141" t="s">
        <v>85</v>
      </c>
      <c r="O141" t="s">
        <v>86</v>
      </c>
    </row>
    <row r="142" spans="1:15">
      <c r="A142">
        <v>10141</v>
      </c>
      <c r="B142" s="1">
        <v>46238</v>
      </c>
      <c r="C142" s="1" t="s">
        <v>34</v>
      </c>
      <c r="D142" t="s">
        <v>661</v>
      </c>
      <c r="E142" t="s">
        <v>662</v>
      </c>
      <c r="F142" t="s">
        <v>663</v>
      </c>
      <c r="G142" t="s">
        <v>40</v>
      </c>
      <c r="H142">
        <v>79</v>
      </c>
      <c r="I142">
        <v>585</v>
      </c>
      <c r="J142">
        <v>0.4</v>
      </c>
      <c r="K142" t="s">
        <v>97</v>
      </c>
      <c r="L142" t="s">
        <v>664</v>
      </c>
      <c r="M142">
        <v>27729</v>
      </c>
      <c r="N142" t="s">
        <v>144</v>
      </c>
      <c r="O142" t="s">
        <v>86</v>
      </c>
    </row>
    <row r="143" spans="1:15">
      <c r="A143">
        <v>10142</v>
      </c>
      <c r="B143" s="1">
        <v>46337</v>
      </c>
      <c r="C143" s="1" t="s">
        <v>46</v>
      </c>
      <c r="D143" t="s">
        <v>665</v>
      </c>
      <c r="E143" t="s">
        <v>666</v>
      </c>
      <c r="F143" t="s">
        <v>667</v>
      </c>
      <c r="G143" t="s">
        <v>55</v>
      </c>
      <c r="H143">
        <v>18</v>
      </c>
      <c r="I143">
        <v>1225</v>
      </c>
      <c r="J143">
        <v>0.32</v>
      </c>
      <c r="K143" t="s">
        <v>175</v>
      </c>
      <c r="L143" t="s">
        <v>668</v>
      </c>
      <c r="M143">
        <v>14994</v>
      </c>
      <c r="N143" t="s">
        <v>149</v>
      </c>
      <c r="O143" t="s">
        <v>86</v>
      </c>
    </row>
    <row r="144" spans="1:15">
      <c r="A144">
        <v>10143</v>
      </c>
      <c r="B144" s="1">
        <v>46251</v>
      </c>
      <c r="C144" s="1" t="s">
        <v>34</v>
      </c>
      <c r="D144" t="s">
        <v>669</v>
      </c>
      <c r="E144" t="s">
        <v>670</v>
      </c>
      <c r="F144" t="s">
        <v>671</v>
      </c>
      <c r="G144" t="s">
        <v>672</v>
      </c>
      <c r="H144">
        <v>57</v>
      </c>
      <c r="I144">
        <v>1411</v>
      </c>
      <c r="J144">
        <v>0.18</v>
      </c>
      <c r="K144" t="s">
        <v>175</v>
      </c>
      <c r="L144" t="s">
        <v>673</v>
      </c>
      <c r="M144">
        <v>65950.14</v>
      </c>
      <c r="N144" t="s">
        <v>144</v>
      </c>
      <c r="O144" t="s">
        <v>93</v>
      </c>
    </row>
    <row r="145" spans="1:15">
      <c r="A145">
        <v>10144</v>
      </c>
      <c r="B145" s="1">
        <v>46379</v>
      </c>
      <c r="C145" s="1" t="s">
        <v>50</v>
      </c>
      <c r="D145" t="s">
        <v>674</v>
      </c>
      <c r="E145" t="s">
        <v>675</v>
      </c>
      <c r="F145" t="s">
        <v>676</v>
      </c>
      <c r="G145" t="s">
        <v>672</v>
      </c>
      <c r="H145">
        <v>96</v>
      </c>
      <c r="I145">
        <v>1805</v>
      </c>
      <c r="J145">
        <v>0.4</v>
      </c>
      <c r="K145" t="s">
        <v>175</v>
      </c>
      <c r="L145" t="s">
        <v>677</v>
      </c>
      <c r="M145">
        <v>103968</v>
      </c>
      <c r="N145" t="s">
        <v>199</v>
      </c>
      <c r="O145" t="s">
        <v>86</v>
      </c>
    </row>
    <row r="146" spans="1:15">
      <c r="A146">
        <v>10145</v>
      </c>
      <c r="B146" s="1">
        <v>46199</v>
      </c>
      <c r="C146" s="1" t="s">
        <v>26</v>
      </c>
      <c r="D146" t="s">
        <v>678</v>
      </c>
      <c r="E146" t="s">
        <v>679</v>
      </c>
      <c r="F146" t="s">
        <v>680</v>
      </c>
      <c r="G146" t="s">
        <v>681</v>
      </c>
      <c r="H146">
        <v>82</v>
      </c>
      <c r="I146">
        <v>578</v>
      </c>
      <c r="J146">
        <v>0.28999999999999998</v>
      </c>
      <c r="K146" t="s">
        <v>175</v>
      </c>
      <c r="L146" t="s">
        <v>682</v>
      </c>
      <c r="M146">
        <v>33651.160000000003</v>
      </c>
      <c r="N146" t="s">
        <v>92</v>
      </c>
      <c r="O146" t="s">
        <v>86</v>
      </c>
    </row>
    <row r="147" spans="1:15">
      <c r="A147">
        <v>10146</v>
      </c>
      <c r="B147" s="1">
        <v>46164</v>
      </c>
      <c r="C147" s="1" t="s">
        <v>22</v>
      </c>
      <c r="D147" t="s">
        <v>683</v>
      </c>
      <c r="E147" t="s">
        <v>684</v>
      </c>
      <c r="F147" t="s">
        <v>685</v>
      </c>
      <c r="G147" t="s">
        <v>681</v>
      </c>
      <c r="H147">
        <v>75</v>
      </c>
      <c r="I147">
        <v>1356</v>
      </c>
      <c r="J147">
        <v>0.44</v>
      </c>
      <c r="K147" t="s">
        <v>97</v>
      </c>
      <c r="L147" t="s">
        <v>686</v>
      </c>
      <c r="M147">
        <v>56952.000000000007</v>
      </c>
      <c r="N147" t="s">
        <v>85</v>
      </c>
      <c r="O147" t="s">
        <v>139</v>
      </c>
    </row>
    <row r="148" spans="1:15">
      <c r="A148">
        <v>10147</v>
      </c>
      <c r="B148" s="1">
        <v>46341</v>
      </c>
      <c r="C148" s="1" t="s">
        <v>46</v>
      </c>
      <c r="D148" t="s">
        <v>687</v>
      </c>
      <c r="E148" t="s">
        <v>688</v>
      </c>
      <c r="F148" t="s">
        <v>689</v>
      </c>
      <c r="G148" t="s">
        <v>60</v>
      </c>
      <c r="H148">
        <v>71</v>
      </c>
      <c r="I148">
        <v>133</v>
      </c>
      <c r="J148">
        <v>0.15</v>
      </c>
      <c r="K148" t="s">
        <v>97</v>
      </c>
      <c r="L148" t="s">
        <v>690</v>
      </c>
      <c r="M148">
        <v>8026.55</v>
      </c>
      <c r="N148" t="s">
        <v>149</v>
      </c>
      <c r="O148" t="s">
        <v>93</v>
      </c>
    </row>
    <row r="149" spans="1:15">
      <c r="A149">
        <v>10148</v>
      </c>
      <c r="B149" s="1">
        <v>46062</v>
      </c>
      <c r="C149" s="1" t="s">
        <v>10</v>
      </c>
      <c r="D149" t="s">
        <v>691</v>
      </c>
      <c r="E149" t="s">
        <v>692</v>
      </c>
      <c r="F149" t="s">
        <v>693</v>
      </c>
      <c r="G149" t="s">
        <v>60</v>
      </c>
      <c r="H149">
        <v>19</v>
      </c>
      <c r="I149">
        <v>1130</v>
      </c>
      <c r="J149">
        <v>0.43</v>
      </c>
      <c r="K149" t="s">
        <v>90</v>
      </c>
      <c r="L149" t="s">
        <v>694</v>
      </c>
      <c r="M149">
        <v>12237.9</v>
      </c>
      <c r="N149" t="s">
        <v>249</v>
      </c>
      <c r="O149" t="s">
        <v>139</v>
      </c>
    </row>
    <row r="150" spans="1:15">
      <c r="A150">
        <v>10149</v>
      </c>
      <c r="B150" s="1">
        <v>46290</v>
      </c>
      <c r="C150" s="1" t="s">
        <v>38</v>
      </c>
      <c r="D150" t="s">
        <v>695</v>
      </c>
      <c r="E150" t="s">
        <v>696</v>
      </c>
      <c r="F150" t="s">
        <v>697</v>
      </c>
      <c r="G150" t="s">
        <v>698</v>
      </c>
      <c r="H150">
        <v>83</v>
      </c>
      <c r="I150">
        <v>1717</v>
      </c>
      <c r="J150">
        <v>0.44</v>
      </c>
      <c r="K150" t="s">
        <v>97</v>
      </c>
      <c r="L150" t="s">
        <v>699</v>
      </c>
      <c r="M150">
        <v>79806.16</v>
      </c>
      <c r="N150" t="s">
        <v>138</v>
      </c>
      <c r="O150" t="s">
        <v>139</v>
      </c>
    </row>
    <row r="151" spans="1:15">
      <c r="A151">
        <v>10150</v>
      </c>
      <c r="B151" s="1">
        <v>46200</v>
      </c>
      <c r="C151" s="1" t="s">
        <v>26</v>
      </c>
      <c r="D151" t="s">
        <v>700</v>
      </c>
      <c r="E151" t="s">
        <v>701</v>
      </c>
      <c r="F151" t="s">
        <v>702</v>
      </c>
      <c r="G151" t="s">
        <v>698</v>
      </c>
      <c r="H151">
        <v>23</v>
      </c>
      <c r="I151">
        <v>1934</v>
      </c>
      <c r="J151">
        <v>0.38</v>
      </c>
      <c r="K151" t="s">
        <v>83</v>
      </c>
      <c r="L151" t="s">
        <v>703</v>
      </c>
      <c r="M151">
        <v>27578.84</v>
      </c>
      <c r="N151" t="s">
        <v>92</v>
      </c>
      <c r="O151" t="s">
        <v>86</v>
      </c>
    </row>
    <row r="152" spans="1:15">
      <c r="A152">
        <v>10151</v>
      </c>
      <c r="B152" s="1">
        <v>46073</v>
      </c>
      <c r="C152" s="1" t="s">
        <v>10</v>
      </c>
      <c r="D152" t="s">
        <v>704</v>
      </c>
      <c r="E152" t="s">
        <v>705</v>
      </c>
      <c r="F152" t="s">
        <v>706</v>
      </c>
      <c r="G152" t="s">
        <v>707</v>
      </c>
      <c r="H152">
        <v>85</v>
      </c>
      <c r="I152">
        <v>116</v>
      </c>
      <c r="J152">
        <v>0.49</v>
      </c>
      <c r="K152" t="s">
        <v>181</v>
      </c>
      <c r="L152" t="s">
        <v>708</v>
      </c>
      <c r="M152">
        <v>5028.6000000000004</v>
      </c>
      <c r="N152" t="s">
        <v>249</v>
      </c>
      <c r="O152" t="s">
        <v>139</v>
      </c>
    </row>
    <row r="153" spans="1:15">
      <c r="A153">
        <v>10152</v>
      </c>
      <c r="B153" s="1">
        <v>46126</v>
      </c>
      <c r="C153" s="1" t="s">
        <v>18</v>
      </c>
      <c r="D153" t="s">
        <v>709</v>
      </c>
      <c r="E153" t="s">
        <v>710</v>
      </c>
      <c r="F153" t="s">
        <v>711</v>
      </c>
      <c r="G153" t="s">
        <v>707</v>
      </c>
      <c r="H153">
        <v>67</v>
      </c>
      <c r="I153">
        <v>1481</v>
      </c>
      <c r="J153">
        <v>0.15</v>
      </c>
      <c r="K153" t="s">
        <v>83</v>
      </c>
      <c r="L153" t="s">
        <v>712</v>
      </c>
      <c r="M153">
        <v>84342.95</v>
      </c>
      <c r="N153" t="s">
        <v>125</v>
      </c>
      <c r="O153" t="s">
        <v>93</v>
      </c>
    </row>
    <row r="154" spans="1:15">
      <c r="A154">
        <v>10153</v>
      </c>
      <c r="B154" s="1">
        <v>46248</v>
      </c>
      <c r="C154" s="1" t="s">
        <v>34</v>
      </c>
      <c r="D154" t="s">
        <v>713</v>
      </c>
      <c r="E154" t="s">
        <v>714</v>
      </c>
      <c r="F154" t="s">
        <v>715</v>
      </c>
      <c r="G154" t="s">
        <v>707</v>
      </c>
      <c r="H154">
        <v>68</v>
      </c>
      <c r="I154">
        <v>1074</v>
      </c>
      <c r="J154">
        <v>0.19</v>
      </c>
      <c r="K154" t="s">
        <v>83</v>
      </c>
      <c r="L154" t="s">
        <v>716</v>
      </c>
      <c r="M154">
        <v>59155.920000000013</v>
      </c>
      <c r="N154" t="s">
        <v>144</v>
      </c>
      <c r="O154" t="s">
        <v>93</v>
      </c>
    </row>
    <row r="155" spans="1:15">
      <c r="A155">
        <v>10154</v>
      </c>
      <c r="B155" s="1">
        <v>46134</v>
      </c>
      <c r="C155" s="1" t="s">
        <v>18</v>
      </c>
      <c r="D155" t="s">
        <v>717</v>
      </c>
      <c r="E155" t="s">
        <v>718</v>
      </c>
      <c r="F155" t="s">
        <v>719</v>
      </c>
      <c r="G155" t="s">
        <v>60</v>
      </c>
      <c r="H155">
        <v>81</v>
      </c>
      <c r="I155">
        <v>1627</v>
      </c>
      <c r="J155">
        <v>0.5</v>
      </c>
      <c r="K155" t="s">
        <v>83</v>
      </c>
      <c r="L155" t="s">
        <v>720</v>
      </c>
      <c r="M155">
        <v>65893.5</v>
      </c>
      <c r="N155" t="s">
        <v>125</v>
      </c>
      <c r="O155" t="s">
        <v>139</v>
      </c>
    </row>
    <row r="156" spans="1:15">
      <c r="A156">
        <v>10155</v>
      </c>
      <c r="B156" s="1">
        <v>46091</v>
      </c>
      <c r="C156" s="1" t="s">
        <v>14</v>
      </c>
      <c r="D156" t="s">
        <v>721</v>
      </c>
      <c r="E156" t="s">
        <v>722</v>
      </c>
      <c r="F156" t="s">
        <v>723</v>
      </c>
      <c r="G156" t="s">
        <v>60</v>
      </c>
      <c r="H156">
        <v>24</v>
      </c>
      <c r="I156">
        <v>573</v>
      </c>
      <c r="J156">
        <v>0.44</v>
      </c>
      <c r="K156" t="s">
        <v>181</v>
      </c>
      <c r="L156" t="s">
        <v>724</v>
      </c>
      <c r="M156">
        <v>7701.1200000000008</v>
      </c>
      <c r="N156" t="s">
        <v>99</v>
      </c>
      <c r="O156" t="s">
        <v>139</v>
      </c>
    </row>
    <row r="157" spans="1:15">
      <c r="A157">
        <v>10156</v>
      </c>
      <c r="B157" s="1">
        <v>46211</v>
      </c>
      <c r="C157" s="1" t="s">
        <v>30</v>
      </c>
      <c r="D157" t="s">
        <v>725</v>
      </c>
      <c r="E157" t="s">
        <v>726</v>
      </c>
      <c r="F157" t="s">
        <v>727</v>
      </c>
      <c r="G157" t="s">
        <v>728</v>
      </c>
      <c r="H157">
        <v>76</v>
      </c>
      <c r="I157">
        <v>1698</v>
      </c>
      <c r="J157">
        <v>0.5</v>
      </c>
      <c r="K157" t="s">
        <v>175</v>
      </c>
      <c r="L157" t="s">
        <v>729</v>
      </c>
      <c r="M157">
        <v>64524</v>
      </c>
      <c r="N157" t="s">
        <v>208</v>
      </c>
      <c r="O157" t="s">
        <v>139</v>
      </c>
    </row>
    <row r="158" spans="1:15">
      <c r="A158">
        <v>10157</v>
      </c>
      <c r="B158" s="1">
        <v>46024</v>
      </c>
      <c r="C158" s="1" t="s">
        <v>6</v>
      </c>
      <c r="D158" t="s">
        <v>730</v>
      </c>
      <c r="E158" t="s">
        <v>731</v>
      </c>
      <c r="F158" t="s">
        <v>732</v>
      </c>
      <c r="G158" t="s">
        <v>60</v>
      </c>
      <c r="H158">
        <v>66</v>
      </c>
      <c r="I158">
        <v>287</v>
      </c>
      <c r="J158">
        <v>0.2</v>
      </c>
      <c r="K158" t="s">
        <v>83</v>
      </c>
      <c r="L158" t="s">
        <v>733</v>
      </c>
      <c r="M158">
        <v>15153.6</v>
      </c>
      <c r="N158" t="s">
        <v>107</v>
      </c>
      <c r="O158" t="s">
        <v>93</v>
      </c>
    </row>
    <row r="159" spans="1:15">
      <c r="A159">
        <v>10158</v>
      </c>
      <c r="B159" s="1">
        <v>46373</v>
      </c>
      <c r="C159" s="1" t="s">
        <v>50</v>
      </c>
      <c r="D159" t="s">
        <v>734</v>
      </c>
      <c r="E159" t="s">
        <v>735</v>
      </c>
      <c r="F159" t="s">
        <v>736</v>
      </c>
      <c r="G159" t="s">
        <v>48</v>
      </c>
      <c r="H159">
        <v>67</v>
      </c>
      <c r="I159">
        <v>846</v>
      </c>
      <c r="J159">
        <v>0.37</v>
      </c>
      <c r="K159" t="s">
        <v>90</v>
      </c>
      <c r="L159" t="s">
        <v>737</v>
      </c>
      <c r="M159">
        <v>35709.660000000003</v>
      </c>
      <c r="N159" t="s">
        <v>199</v>
      </c>
      <c r="O159" t="s">
        <v>86</v>
      </c>
    </row>
    <row r="160" spans="1:15">
      <c r="A160">
        <v>10159</v>
      </c>
      <c r="B160" s="1">
        <v>46220</v>
      </c>
      <c r="C160" s="1" t="s">
        <v>30</v>
      </c>
      <c r="D160" t="s">
        <v>738</v>
      </c>
      <c r="E160" t="s">
        <v>739</v>
      </c>
      <c r="F160" t="s">
        <v>740</v>
      </c>
      <c r="G160" t="s">
        <v>48</v>
      </c>
      <c r="H160">
        <v>50</v>
      </c>
      <c r="I160">
        <v>1949</v>
      </c>
      <c r="J160">
        <v>0.35</v>
      </c>
      <c r="K160" t="s">
        <v>175</v>
      </c>
      <c r="L160" t="s">
        <v>741</v>
      </c>
      <c r="M160">
        <v>63342.5</v>
      </c>
      <c r="N160" t="s">
        <v>208</v>
      </c>
      <c r="O160" t="s">
        <v>86</v>
      </c>
    </row>
    <row r="161" spans="1:15">
      <c r="A161">
        <v>10160</v>
      </c>
      <c r="B161" s="1">
        <v>46186</v>
      </c>
      <c r="C161" s="1" t="s">
        <v>26</v>
      </c>
      <c r="D161" t="s">
        <v>742</v>
      </c>
      <c r="E161" t="s">
        <v>743</v>
      </c>
      <c r="F161" t="s">
        <v>744</v>
      </c>
      <c r="G161" t="s">
        <v>48</v>
      </c>
      <c r="H161">
        <v>1</v>
      </c>
      <c r="I161">
        <v>1135</v>
      </c>
      <c r="J161">
        <v>0.16</v>
      </c>
      <c r="K161" t="s">
        <v>181</v>
      </c>
      <c r="L161" t="s">
        <v>745</v>
      </c>
      <c r="M161">
        <v>953.4</v>
      </c>
      <c r="N161" t="s">
        <v>92</v>
      </c>
      <c r="O161" t="s">
        <v>93</v>
      </c>
    </row>
    <row r="162" spans="1:15">
      <c r="A162">
        <v>10161</v>
      </c>
      <c r="B162" s="1">
        <v>46298</v>
      </c>
      <c r="C162" s="1" t="s">
        <v>42</v>
      </c>
      <c r="D162" t="s">
        <v>746</v>
      </c>
      <c r="E162" t="s">
        <v>747</v>
      </c>
      <c r="F162" t="s">
        <v>748</v>
      </c>
      <c r="G162" t="s">
        <v>52</v>
      </c>
      <c r="H162">
        <v>41</v>
      </c>
      <c r="I162">
        <v>1261</v>
      </c>
      <c r="J162">
        <v>0.41</v>
      </c>
      <c r="K162" t="s">
        <v>90</v>
      </c>
      <c r="L162" t="s">
        <v>749</v>
      </c>
      <c r="M162">
        <v>30503.59</v>
      </c>
      <c r="N162" t="s">
        <v>177</v>
      </c>
      <c r="O162" t="s">
        <v>139</v>
      </c>
    </row>
    <row r="163" spans="1:15">
      <c r="A163">
        <v>10162</v>
      </c>
      <c r="B163" s="1">
        <v>46130</v>
      </c>
      <c r="C163" s="1" t="s">
        <v>18</v>
      </c>
      <c r="D163" t="s">
        <v>750</v>
      </c>
      <c r="E163" t="s">
        <v>751</v>
      </c>
      <c r="F163" t="s">
        <v>752</v>
      </c>
      <c r="G163" t="s">
        <v>52</v>
      </c>
      <c r="H163">
        <v>1</v>
      </c>
      <c r="I163">
        <v>438</v>
      </c>
      <c r="J163">
        <v>0.37</v>
      </c>
      <c r="K163" t="s">
        <v>97</v>
      </c>
      <c r="L163" t="s">
        <v>753</v>
      </c>
      <c r="M163">
        <v>275.94</v>
      </c>
      <c r="N163" t="s">
        <v>125</v>
      </c>
      <c r="O163" t="s">
        <v>86</v>
      </c>
    </row>
    <row r="164" spans="1:15">
      <c r="A164">
        <v>10163</v>
      </c>
      <c r="B164" s="1">
        <v>46174</v>
      </c>
      <c r="C164" s="1" t="s">
        <v>26</v>
      </c>
      <c r="D164" t="s">
        <v>754</v>
      </c>
      <c r="E164" t="s">
        <v>755</v>
      </c>
      <c r="F164" t="s">
        <v>756</v>
      </c>
      <c r="G164" t="s">
        <v>52</v>
      </c>
      <c r="H164">
        <v>89</v>
      </c>
      <c r="I164">
        <v>1984</v>
      </c>
      <c r="J164">
        <v>0.22</v>
      </c>
      <c r="K164" t="s">
        <v>175</v>
      </c>
      <c r="L164" t="s">
        <v>757</v>
      </c>
      <c r="M164">
        <v>137729.28</v>
      </c>
      <c r="N164" t="s">
        <v>92</v>
      </c>
      <c r="O164" t="s">
        <v>86</v>
      </c>
    </row>
    <row r="165" spans="1:15">
      <c r="A165">
        <v>10164</v>
      </c>
      <c r="B165" s="1">
        <v>46193</v>
      </c>
      <c r="C165" s="1" t="s">
        <v>26</v>
      </c>
      <c r="D165" t="s">
        <v>758</v>
      </c>
      <c r="E165" t="s">
        <v>759</v>
      </c>
      <c r="F165" t="s">
        <v>760</v>
      </c>
      <c r="G165" t="s">
        <v>52</v>
      </c>
      <c r="H165">
        <v>95</v>
      </c>
      <c r="I165">
        <v>1926</v>
      </c>
      <c r="J165">
        <v>0.38</v>
      </c>
      <c r="K165" t="s">
        <v>97</v>
      </c>
      <c r="L165" t="s">
        <v>761</v>
      </c>
      <c r="M165">
        <v>113441.4</v>
      </c>
      <c r="N165" t="s">
        <v>92</v>
      </c>
      <c r="O165" t="s">
        <v>86</v>
      </c>
    </row>
    <row r="166" spans="1:15">
      <c r="A166">
        <v>10165</v>
      </c>
      <c r="B166" s="1">
        <v>46318</v>
      </c>
      <c r="C166" s="1" t="s">
        <v>42</v>
      </c>
      <c r="D166" t="s">
        <v>762</v>
      </c>
      <c r="E166" t="s">
        <v>763</v>
      </c>
      <c r="F166" t="s">
        <v>764</v>
      </c>
      <c r="G166" t="s">
        <v>52</v>
      </c>
      <c r="H166">
        <v>79</v>
      </c>
      <c r="I166">
        <v>1254</v>
      </c>
      <c r="J166">
        <v>0.48</v>
      </c>
      <c r="K166" t="s">
        <v>181</v>
      </c>
      <c r="L166" t="s">
        <v>765</v>
      </c>
      <c r="M166">
        <v>51514.32</v>
      </c>
      <c r="N166" t="s">
        <v>177</v>
      </c>
      <c r="O166" t="s">
        <v>139</v>
      </c>
    </row>
    <row r="167" spans="1:15">
      <c r="A167">
        <v>10166</v>
      </c>
      <c r="B167" s="1">
        <v>46312</v>
      </c>
      <c r="C167" s="1" t="s">
        <v>42</v>
      </c>
      <c r="D167" t="s">
        <v>766</v>
      </c>
      <c r="E167" t="s">
        <v>767</v>
      </c>
      <c r="F167" t="s">
        <v>768</v>
      </c>
      <c r="G167" t="s">
        <v>52</v>
      </c>
      <c r="H167">
        <v>69</v>
      </c>
      <c r="I167">
        <v>768</v>
      </c>
      <c r="J167">
        <v>0.44</v>
      </c>
      <c r="K167" t="s">
        <v>175</v>
      </c>
      <c r="L167" t="s">
        <v>769</v>
      </c>
      <c r="M167">
        <v>29675.52</v>
      </c>
      <c r="N167" t="s">
        <v>177</v>
      </c>
      <c r="O167" t="s">
        <v>139</v>
      </c>
    </row>
    <row r="168" spans="1:15">
      <c r="A168">
        <v>10167</v>
      </c>
      <c r="B168" s="1">
        <v>46078</v>
      </c>
      <c r="C168" s="1" t="s">
        <v>10</v>
      </c>
      <c r="D168" t="s">
        <v>770</v>
      </c>
      <c r="E168" t="s">
        <v>771</v>
      </c>
      <c r="F168" t="s">
        <v>772</v>
      </c>
      <c r="G168" t="s">
        <v>54</v>
      </c>
      <c r="H168">
        <v>63</v>
      </c>
      <c r="I168">
        <v>1318</v>
      </c>
      <c r="J168">
        <v>0.17</v>
      </c>
      <c r="K168" t="s">
        <v>97</v>
      </c>
      <c r="L168" t="s">
        <v>773</v>
      </c>
      <c r="M168">
        <v>68918.22</v>
      </c>
      <c r="N168" t="s">
        <v>249</v>
      </c>
      <c r="O168" t="s">
        <v>93</v>
      </c>
    </row>
    <row r="169" spans="1:15">
      <c r="A169">
        <v>10168</v>
      </c>
      <c r="B169" s="1">
        <v>46135</v>
      </c>
      <c r="C169" s="1" t="s">
        <v>18</v>
      </c>
      <c r="D169" t="s">
        <v>774</v>
      </c>
      <c r="E169" t="s">
        <v>775</v>
      </c>
      <c r="F169" t="s">
        <v>776</v>
      </c>
      <c r="G169" t="s">
        <v>54</v>
      </c>
      <c r="H169">
        <v>74</v>
      </c>
      <c r="I169">
        <v>401</v>
      </c>
      <c r="J169">
        <v>0.31</v>
      </c>
      <c r="K169" t="s">
        <v>90</v>
      </c>
      <c r="L169" t="s">
        <v>777</v>
      </c>
      <c r="M169">
        <v>20475.060000000001</v>
      </c>
      <c r="N169" t="s">
        <v>125</v>
      </c>
      <c r="O169" t="s">
        <v>86</v>
      </c>
    </row>
    <row r="170" spans="1:15">
      <c r="A170">
        <v>10169</v>
      </c>
      <c r="B170" s="1">
        <v>46351</v>
      </c>
      <c r="C170" s="1" t="s">
        <v>46</v>
      </c>
      <c r="D170" t="s">
        <v>778</v>
      </c>
      <c r="E170" t="s">
        <v>779</v>
      </c>
      <c r="F170" t="s">
        <v>780</v>
      </c>
      <c r="G170" t="s">
        <v>54</v>
      </c>
      <c r="H170">
        <v>35</v>
      </c>
      <c r="I170">
        <v>844</v>
      </c>
      <c r="J170">
        <v>0.32</v>
      </c>
      <c r="K170" t="s">
        <v>97</v>
      </c>
      <c r="L170" t="s">
        <v>781</v>
      </c>
      <c r="M170">
        <v>20087.2</v>
      </c>
      <c r="N170" t="s">
        <v>149</v>
      </c>
      <c r="O170" t="s">
        <v>86</v>
      </c>
    </row>
    <row r="171" spans="1:15">
      <c r="A171">
        <v>10170</v>
      </c>
      <c r="B171" s="1">
        <v>46359</v>
      </c>
      <c r="C171" s="1" t="s">
        <v>50</v>
      </c>
      <c r="D171" t="s">
        <v>782</v>
      </c>
      <c r="E171" t="s">
        <v>783</v>
      </c>
      <c r="F171" t="s">
        <v>784</v>
      </c>
      <c r="G171" t="s">
        <v>785</v>
      </c>
      <c r="H171">
        <v>6</v>
      </c>
      <c r="I171">
        <v>1922</v>
      </c>
      <c r="J171">
        <v>0.39</v>
      </c>
      <c r="K171" t="s">
        <v>83</v>
      </c>
      <c r="L171" t="s">
        <v>786</v>
      </c>
      <c r="M171">
        <v>7034.52</v>
      </c>
      <c r="N171" t="s">
        <v>199</v>
      </c>
      <c r="O171" t="s">
        <v>86</v>
      </c>
    </row>
    <row r="172" spans="1:15">
      <c r="A172">
        <v>10171</v>
      </c>
      <c r="B172" s="1">
        <v>46123</v>
      </c>
      <c r="C172" s="1" t="s">
        <v>18</v>
      </c>
      <c r="D172" t="s">
        <v>787</v>
      </c>
      <c r="E172" t="s">
        <v>788</v>
      </c>
      <c r="F172" t="s">
        <v>789</v>
      </c>
      <c r="G172" t="s">
        <v>785</v>
      </c>
      <c r="H172">
        <v>33</v>
      </c>
      <c r="I172">
        <v>1600</v>
      </c>
      <c r="J172">
        <v>0.46</v>
      </c>
      <c r="K172" t="s">
        <v>97</v>
      </c>
      <c r="L172" t="s">
        <v>790</v>
      </c>
      <c r="M172">
        <v>28512</v>
      </c>
      <c r="N172" t="s">
        <v>125</v>
      </c>
      <c r="O172" t="s">
        <v>139</v>
      </c>
    </row>
    <row r="173" spans="1:15">
      <c r="A173">
        <v>10172</v>
      </c>
      <c r="B173" s="1">
        <v>46270</v>
      </c>
      <c r="C173" s="1" t="s">
        <v>38</v>
      </c>
      <c r="D173" t="s">
        <v>791</v>
      </c>
      <c r="E173" t="s">
        <v>792</v>
      </c>
      <c r="F173" t="s">
        <v>793</v>
      </c>
      <c r="G173" t="s">
        <v>53</v>
      </c>
      <c r="H173">
        <v>38</v>
      </c>
      <c r="I173">
        <v>932</v>
      </c>
      <c r="J173">
        <v>0.4</v>
      </c>
      <c r="K173" t="s">
        <v>90</v>
      </c>
      <c r="L173" t="s">
        <v>794</v>
      </c>
      <c r="M173">
        <v>21249.599999999999</v>
      </c>
      <c r="N173" t="s">
        <v>138</v>
      </c>
      <c r="O173" t="s">
        <v>86</v>
      </c>
    </row>
    <row r="174" spans="1:15">
      <c r="A174">
        <v>10173</v>
      </c>
      <c r="B174" s="1">
        <v>46343</v>
      </c>
      <c r="C174" s="1" t="s">
        <v>46</v>
      </c>
      <c r="D174" t="s">
        <v>795</v>
      </c>
      <c r="E174" t="s">
        <v>796</v>
      </c>
      <c r="F174" t="s">
        <v>797</v>
      </c>
      <c r="G174" t="s">
        <v>53</v>
      </c>
      <c r="H174">
        <v>7</v>
      </c>
      <c r="I174">
        <v>537</v>
      </c>
      <c r="J174">
        <v>0.36</v>
      </c>
      <c r="K174" t="s">
        <v>97</v>
      </c>
      <c r="L174" t="s">
        <v>798</v>
      </c>
      <c r="M174">
        <v>2405.7600000000002</v>
      </c>
      <c r="N174" t="s">
        <v>149</v>
      </c>
      <c r="O174" t="s">
        <v>86</v>
      </c>
    </row>
    <row r="175" spans="1:15">
      <c r="A175">
        <v>10174</v>
      </c>
      <c r="B175" s="1">
        <v>46381</v>
      </c>
      <c r="C175" s="1" t="s">
        <v>50</v>
      </c>
      <c r="D175" t="s">
        <v>799</v>
      </c>
      <c r="E175" t="s">
        <v>800</v>
      </c>
      <c r="F175" t="s">
        <v>801</v>
      </c>
      <c r="G175" t="s">
        <v>53</v>
      </c>
      <c r="H175">
        <v>33</v>
      </c>
      <c r="I175">
        <v>1781</v>
      </c>
      <c r="J175">
        <v>0.35</v>
      </c>
      <c r="K175" t="s">
        <v>181</v>
      </c>
      <c r="L175" t="s">
        <v>802</v>
      </c>
      <c r="M175">
        <v>38202.449999999997</v>
      </c>
      <c r="N175" t="s">
        <v>199</v>
      </c>
      <c r="O175" t="s">
        <v>86</v>
      </c>
    </row>
    <row r="176" spans="1:15">
      <c r="A176">
        <v>10175</v>
      </c>
      <c r="B176" s="1">
        <v>46336</v>
      </c>
      <c r="C176" s="1" t="s">
        <v>46</v>
      </c>
      <c r="D176" t="s">
        <v>803</v>
      </c>
      <c r="E176" t="s">
        <v>804</v>
      </c>
      <c r="F176" t="s">
        <v>805</v>
      </c>
      <c r="G176" t="s">
        <v>53</v>
      </c>
      <c r="H176">
        <v>56</v>
      </c>
      <c r="I176">
        <v>1064</v>
      </c>
      <c r="J176">
        <v>0.22</v>
      </c>
      <c r="K176" t="s">
        <v>83</v>
      </c>
      <c r="L176" t="s">
        <v>806</v>
      </c>
      <c r="M176">
        <v>46475.519999999997</v>
      </c>
      <c r="N176" t="s">
        <v>149</v>
      </c>
      <c r="O176" t="s">
        <v>86</v>
      </c>
    </row>
    <row r="177" spans="1:15">
      <c r="A177">
        <v>10176</v>
      </c>
      <c r="B177" s="1">
        <v>46371</v>
      </c>
      <c r="C177" s="1" t="s">
        <v>50</v>
      </c>
      <c r="D177" t="s">
        <v>807</v>
      </c>
      <c r="E177" t="s">
        <v>808</v>
      </c>
      <c r="F177" t="s">
        <v>809</v>
      </c>
      <c r="G177" t="s">
        <v>810</v>
      </c>
      <c r="H177">
        <v>21</v>
      </c>
      <c r="I177">
        <v>1816</v>
      </c>
      <c r="J177">
        <v>0.36</v>
      </c>
      <c r="K177" t="s">
        <v>97</v>
      </c>
      <c r="L177" t="s">
        <v>811</v>
      </c>
      <c r="M177">
        <v>24407.040000000001</v>
      </c>
      <c r="N177" t="s">
        <v>199</v>
      </c>
      <c r="O177" t="s">
        <v>86</v>
      </c>
    </row>
    <row r="178" spans="1:15">
      <c r="A178">
        <v>10177</v>
      </c>
      <c r="B178" s="1">
        <v>46292</v>
      </c>
      <c r="C178" s="1" t="s">
        <v>38</v>
      </c>
      <c r="D178" t="s">
        <v>812</v>
      </c>
      <c r="E178" t="s">
        <v>813</v>
      </c>
      <c r="F178" t="s">
        <v>814</v>
      </c>
      <c r="G178" t="s">
        <v>810</v>
      </c>
      <c r="H178">
        <v>79</v>
      </c>
      <c r="I178">
        <v>1817</v>
      </c>
      <c r="J178">
        <v>0.27</v>
      </c>
      <c r="K178" t="s">
        <v>175</v>
      </c>
      <c r="L178" t="s">
        <v>815</v>
      </c>
      <c r="M178">
        <v>104786.39</v>
      </c>
      <c r="N178" t="s">
        <v>138</v>
      </c>
      <c r="O178" t="s">
        <v>86</v>
      </c>
    </row>
    <row r="179" spans="1:15">
      <c r="A179">
        <v>10178</v>
      </c>
      <c r="B179" s="1">
        <v>46322</v>
      </c>
      <c r="C179" s="1" t="s">
        <v>42</v>
      </c>
      <c r="D179" t="s">
        <v>816</v>
      </c>
      <c r="E179" t="s">
        <v>817</v>
      </c>
      <c r="F179" t="s">
        <v>818</v>
      </c>
      <c r="G179" t="s">
        <v>819</v>
      </c>
      <c r="H179">
        <v>42</v>
      </c>
      <c r="I179">
        <v>1997</v>
      </c>
      <c r="J179">
        <v>0.33</v>
      </c>
      <c r="K179" t="s">
        <v>181</v>
      </c>
      <c r="L179" t="s">
        <v>820</v>
      </c>
      <c r="M179">
        <v>56195.579999999987</v>
      </c>
      <c r="N179" t="s">
        <v>177</v>
      </c>
      <c r="O179" t="s">
        <v>86</v>
      </c>
    </row>
    <row r="180" spans="1:15">
      <c r="A180">
        <v>10179</v>
      </c>
      <c r="B180" s="1">
        <v>46026</v>
      </c>
      <c r="C180" s="1" t="s">
        <v>6</v>
      </c>
      <c r="D180" t="s">
        <v>821</v>
      </c>
      <c r="E180" t="s">
        <v>822</v>
      </c>
      <c r="F180" t="s">
        <v>823</v>
      </c>
      <c r="G180" t="s">
        <v>824</v>
      </c>
      <c r="H180">
        <v>73</v>
      </c>
      <c r="I180">
        <v>951</v>
      </c>
      <c r="J180">
        <v>0.49</v>
      </c>
      <c r="K180" t="s">
        <v>83</v>
      </c>
      <c r="L180" t="s">
        <v>825</v>
      </c>
      <c r="M180">
        <v>35405.730000000003</v>
      </c>
      <c r="N180" t="s">
        <v>107</v>
      </c>
      <c r="O180" t="s">
        <v>139</v>
      </c>
    </row>
    <row r="181" spans="1:15">
      <c r="A181">
        <v>10180</v>
      </c>
      <c r="B181" s="1">
        <v>46102</v>
      </c>
      <c r="C181" s="1" t="s">
        <v>14</v>
      </c>
      <c r="D181" t="s">
        <v>826</v>
      </c>
      <c r="E181" t="s">
        <v>31</v>
      </c>
      <c r="F181" t="s">
        <v>827</v>
      </c>
      <c r="G181" t="s">
        <v>65</v>
      </c>
      <c r="H181">
        <v>5</v>
      </c>
      <c r="I181">
        <v>1560</v>
      </c>
      <c r="J181">
        <v>0.33</v>
      </c>
      <c r="K181" t="s">
        <v>90</v>
      </c>
      <c r="L181" t="s">
        <v>828</v>
      </c>
      <c r="M181">
        <v>5225.9999999999991</v>
      </c>
      <c r="N181" t="s">
        <v>99</v>
      </c>
      <c r="O181" t="s">
        <v>86</v>
      </c>
    </row>
    <row r="182" spans="1:15">
      <c r="A182">
        <v>10181</v>
      </c>
      <c r="B182" s="1">
        <v>46298</v>
      </c>
      <c r="C182" s="1" t="s">
        <v>42</v>
      </c>
      <c r="D182" t="s">
        <v>829</v>
      </c>
      <c r="E182" t="s">
        <v>830</v>
      </c>
      <c r="F182" t="s">
        <v>831</v>
      </c>
      <c r="G182" t="s">
        <v>36</v>
      </c>
      <c r="H182">
        <v>66</v>
      </c>
      <c r="I182">
        <v>1215</v>
      </c>
      <c r="J182">
        <v>0.4</v>
      </c>
      <c r="K182" t="s">
        <v>83</v>
      </c>
      <c r="L182" t="s">
        <v>832</v>
      </c>
      <c r="M182">
        <v>48114</v>
      </c>
      <c r="N182" t="s">
        <v>177</v>
      </c>
      <c r="O182" t="s">
        <v>86</v>
      </c>
    </row>
    <row r="183" spans="1:15">
      <c r="A183">
        <v>10182</v>
      </c>
      <c r="B183" s="1">
        <v>46209</v>
      </c>
      <c r="C183" s="1" t="s">
        <v>30</v>
      </c>
      <c r="D183" t="s">
        <v>833</v>
      </c>
      <c r="E183" t="s">
        <v>834</v>
      </c>
      <c r="F183" t="s">
        <v>835</v>
      </c>
      <c r="G183" t="s">
        <v>836</v>
      </c>
      <c r="H183">
        <v>62</v>
      </c>
      <c r="I183">
        <v>1977</v>
      </c>
      <c r="J183">
        <v>0.38</v>
      </c>
      <c r="K183" t="s">
        <v>175</v>
      </c>
      <c r="L183" t="s">
        <v>837</v>
      </c>
      <c r="M183">
        <v>75995.88</v>
      </c>
      <c r="N183" t="s">
        <v>208</v>
      </c>
      <c r="O183" t="s">
        <v>86</v>
      </c>
    </row>
    <row r="184" spans="1:15">
      <c r="A184">
        <v>10183</v>
      </c>
      <c r="B184" s="1">
        <v>46039</v>
      </c>
      <c r="C184" s="1" t="s">
        <v>6</v>
      </c>
      <c r="D184" t="s">
        <v>838</v>
      </c>
      <c r="E184" t="s">
        <v>839</v>
      </c>
      <c r="F184" t="s">
        <v>840</v>
      </c>
      <c r="G184" t="s">
        <v>36</v>
      </c>
      <c r="H184">
        <v>39</v>
      </c>
      <c r="I184">
        <v>450</v>
      </c>
      <c r="J184">
        <v>0.3</v>
      </c>
      <c r="K184" t="s">
        <v>181</v>
      </c>
      <c r="L184" t="s">
        <v>841</v>
      </c>
      <c r="M184">
        <v>12285</v>
      </c>
      <c r="N184" t="s">
        <v>107</v>
      </c>
      <c r="O184" t="s">
        <v>86</v>
      </c>
    </row>
    <row r="185" spans="1:15">
      <c r="A185">
        <v>10184</v>
      </c>
      <c r="B185" s="1">
        <v>46287</v>
      </c>
      <c r="C185" s="1" t="s">
        <v>38</v>
      </c>
      <c r="D185" t="s">
        <v>842</v>
      </c>
      <c r="E185" t="s">
        <v>843</v>
      </c>
      <c r="F185" t="s">
        <v>33</v>
      </c>
      <c r="G185" t="s">
        <v>36</v>
      </c>
      <c r="H185">
        <v>43</v>
      </c>
      <c r="I185">
        <v>1804</v>
      </c>
      <c r="J185">
        <v>0.18</v>
      </c>
      <c r="K185" t="s">
        <v>90</v>
      </c>
      <c r="L185" t="s">
        <v>844</v>
      </c>
      <c r="M185">
        <v>63609.040000000008</v>
      </c>
      <c r="N185" t="s">
        <v>138</v>
      </c>
      <c r="O185" t="s">
        <v>93</v>
      </c>
    </row>
    <row r="186" spans="1:15">
      <c r="A186">
        <v>10185</v>
      </c>
      <c r="B186" s="1">
        <v>46322</v>
      </c>
      <c r="C186" s="1" t="s">
        <v>42</v>
      </c>
      <c r="D186" t="s">
        <v>845</v>
      </c>
      <c r="E186" t="s">
        <v>19</v>
      </c>
      <c r="F186" t="s">
        <v>846</v>
      </c>
      <c r="G186" t="s">
        <v>36</v>
      </c>
      <c r="H186">
        <v>24</v>
      </c>
      <c r="I186">
        <v>542</v>
      </c>
      <c r="J186">
        <v>0.46</v>
      </c>
      <c r="K186" t="s">
        <v>90</v>
      </c>
      <c r="L186" t="s">
        <v>847</v>
      </c>
      <c r="M186">
        <v>7024.3200000000006</v>
      </c>
      <c r="N186" t="s">
        <v>177</v>
      </c>
      <c r="O186" t="s">
        <v>139</v>
      </c>
    </row>
    <row r="187" spans="1:15">
      <c r="A187">
        <v>10186</v>
      </c>
      <c r="B187" s="1">
        <v>46182</v>
      </c>
      <c r="C187" s="1" t="s">
        <v>26</v>
      </c>
      <c r="D187" t="s">
        <v>848</v>
      </c>
      <c r="E187" t="s">
        <v>849</v>
      </c>
      <c r="F187" t="s">
        <v>850</v>
      </c>
      <c r="G187" t="s">
        <v>36</v>
      </c>
      <c r="H187">
        <v>33</v>
      </c>
      <c r="I187">
        <v>175</v>
      </c>
      <c r="J187">
        <v>0.33</v>
      </c>
      <c r="K187" t="s">
        <v>83</v>
      </c>
      <c r="L187" t="s">
        <v>851</v>
      </c>
      <c r="M187">
        <v>3869.25</v>
      </c>
      <c r="N187" t="s">
        <v>92</v>
      </c>
      <c r="O187" t="s">
        <v>86</v>
      </c>
    </row>
    <row r="188" spans="1:15">
      <c r="A188">
        <v>10187</v>
      </c>
      <c r="B188" s="1">
        <v>46339</v>
      </c>
      <c r="C188" s="1" t="s">
        <v>46</v>
      </c>
      <c r="D188" t="s">
        <v>852</v>
      </c>
      <c r="E188" t="s">
        <v>853</v>
      </c>
      <c r="F188" t="s">
        <v>854</v>
      </c>
      <c r="G188" t="s">
        <v>855</v>
      </c>
      <c r="H188">
        <v>74</v>
      </c>
      <c r="I188">
        <v>1237</v>
      </c>
      <c r="J188">
        <v>0.28999999999999998</v>
      </c>
      <c r="K188" t="s">
        <v>175</v>
      </c>
      <c r="L188" t="s">
        <v>856</v>
      </c>
      <c r="M188">
        <v>64991.98</v>
      </c>
      <c r="N188" t="s">
        <v>149</v>
      </c>
      <c r="O188" t="s">
        <v>86</v>
      </c>
    </row>
    <row r="189" spans="1:15">
      <c r="A189">
        <v>10188</v>
      </c>
      <c r="B189" s="1">
        <v>46299</v>
      </c>
      <c r="C189" s="1" t="s">
        <v>42</v>
      </c>
      <c r="D189" t="s">
        <v>857</v>
      </c>
      <c r="E189" t="s">
        <v>858</v>
      </c>
      <c r="F189" t="s">
        <v>859</v>
      </c>
      <c r="G189" t="s">
        <v>855</v>
      </c>
      <c r="H189">
        <v>73</v>
      </c>
      <c r="I189">
        <v>317</v>
      </c>
      <c r="J189">
        <v>0.28000000000000003</v>
      </c>
      <c r="K189" t="s">
        <v>181</v>
      </c>
      <c r="L189" t="s">
        <v>860</v>
      </c>
      <c r="M189">
        <v>16661.52</v>
      </c>
      <c r="N189" t="s">
        <v>177</v>
      </c>
      <c r="O189" t="s">
        <v>86</v>
      </c>
    </row>
    <row r="190" spans="1:15">
      <c r="A190">
        <v>10189</v>
      </c>
      <c r="B190" s="1">
        <v>46032</v>
      </c>
      <c r="C190" s="1" t="s">
        <v>6</v>
      </c>
      <c r="D190" t="s">
        <v>861</v>
      </c>
      <c r="E190" t="s">
        <v>862</v>
      </c>
      <c r="F190" t="s">
        <v>863</v>
      </c>
      <c r="G190" t="s">
        <v>855</v>
      </c>
      <c r="H190">
        <v>39</v>
      </c>
      <c r="I190">
        <v>1171</v>
      </c>
      <c r="J190">
        <v>0.3</v>
      </c>
      <c r="K190" t="s">
        <v>175</v>
      </c>
      <c r="L190" t="s">
        <v>864</v>
      </c>
      <c r="M190">
        <v>31968.3</v>
      </c>
      <c r="N190" t="s">
        <v>107</v>
      </c>
      <c r="O190" t="s">
        <v>86</v>
      </c>
    </row>
    <row r="191" spans="1:15">
      <c r="A191">
        <v>10190</v>
      </c>
      <c r="B191" s="1">
        <v>46305</v>
      </c>
      <c r="C191" s="1" t="s">
        <v>42</v>
      </c>
      <c r="D191" t="s">
        <v>865</v>
      </c>
      <c r="E191" t="s">
        <v>35</v>
      </c>
      <c r="F191" t="s">
        <v>866</v>
      </c>
      <c r="G191" t="s">
        <v>66</v>
      </c>
      <c r="H191">
        <v>4</v>
      </c>
      <c r="I191">
        <v>961</v>
      </c>
      <c r="J191">
        <v>0.23</v>
      </c>
      <c r="K191" t="s">
        <v>90</v>
      </c>
      <c r="L191" t="s">
        <v>867</v>
      </c>
      <c r="M191">
        <v>2959.88</v>
      </c>
      <c r="N191" t="s">
        <v>177</v>
      </c>
      <c r="O191" t="s">
        <v>86</v>
      </c>
    </row>
    <row r="192" spans="1:15">
      <c r="A192">
        <v>10191</v>
      </c>
      <c r="B192" s="1">
        <v>46268</v>
      </c>
      <c r="C192" s="1" t="s">
        <v>38</v>
      </c>
      <c r="D192" t="s">
        <v>868</v>
      </c>
      <c r="E192" t="s">
        <v>869</v>
      </c>
      <c r="F192" t="s">
        <v>870</v>
      </c>
      <c r="G192" t="s">
        <v>66</v>
      </c>
      <c r="H192">
        <v>95</v>
      </c>
      <c r="I192">
        <v>1360</v>
      </c>
      <c r="J192">
        <v>0.15</v>
      </c>
      <c r="K192" t="s">
        <v>181</v>
      </c>
      <c r="L192" t="s">
        <v>871</v>
      </c>
      <c r="M192">
        <v>109820</v>
      </c>
      <c r="N192" t="s">
        <v>138</v>
      </c>
      <c r="O192" t="s">
        <v>93</v>
      </c>
    </row>
    <row r="193" spans="1:15">
      <c r="A193">
        <v>10192</v>
      </c>
      <c r="B193" s="1">
        <v>46335</v>
      </c>
      <c r="C193" s="1" t="s">
        <v>46</v>
      </c>
      <c r="D193" t="s">
        <v>872</v>
      </c>
      <c r="E193" t="s">
        <v>873</v>
      </c>
      <c r="F193" t="s">
        <v>874</v>
      </c>
      <c r="G193" t="s">
        <v>66</v>
      </c>
      <c r="H193">
        <v>93</v>
      </c>
      <c r="I193">
        <v>391</v>
      </c>
      <c r="J193">
        <v>0.32</v>
      </c>
      <c r="K193" t="s">
        <v>181</v>
      </c>
      <c r="L193" t="s">
        <v>875</v>
      </c>
      <c r="M193">
        <v>24726.84</v>
      </c>
      <c r="N193" t="s">
        <v>149</v>
      </c>
      <c r="O193" t="s">
        <v>86</v>
      </c>
    </row>
    <row r="194" spans="1:15">
      <c r="A194">
        <v>10193</v>
      </c>
      <c r="B194" s="1">
        <v>46308</v>
      </c>
      <c r="C194" s="1" t="s">
        <v>42</v>
      </c>
      <c r="D194" t="s">
        <v>876</v>
      </c>
      <c r="E194" t="s">
        <v>877</v>
      </c>
      <c r="F194" t="s">
        <v>878</v>
      </c>
      <c r="G194" t="s">
        <v>66</v>
      </c>
      <c r="H194">
        <v>53</v>
      </c>
      <c r="I194">
        <v>1207</v>
      </c>
      <c r="J194">
        <v>0.45</v>
      </c>
      <c r="K194" t="s">
        <v>181</v>
      </c>
      <c r="L194" t="s">
        <v>879</v>
      </c>
      <c r="M194">
        <v>35184.050000000003</v>
      </c>
      <c r="N194" t="s">
        <v>177</v>
      </c>
      <c r="O194" t="s">
        <v>139</v>
      </c>
    </row>
    <row r="195" spans="1:15">
      <c r="A195">
        <v>10194</v>
      </c>
      <c r="B195" s="1">
        <v>46151</v>
      </c>
      <c r="C195" s="1" t="s">
        <v>22</v>
      </c>
      <c r="D195" t="s">
        <v>880</v>
      </c>
      <c r="E195" t="s">
        <v>881</v>
      </c>
      <c r="F195" t="s">
        <v>882</v>
      </c>
      <c r="G195" t="s">
        <v>66</v>
      </c>
      <c r="H195">
        <v>95</v>
      </c>
      <c r="I195">
        <v>1330</v>
      </c>
      <c r="J195">
        <v>0.34</v>
      </c>
      <c r="K195" t="s">
        <v>97</v>
      </c>
      <c r="L195" t="s">
        <v>883</v>
      </c>
      <c r="M195">
        <v>83390.999999999985</v>
      </c>
      <c r="N195" t="s">
        <v>85</v>
      </c>
      <c r="O195" t="s">
        <v>86</v>
      </c>
    </row>
    <row r="196" spans="1:15">
      <c r="A196">
        <v>10195</v>
      </c>
      <c r="B196" s="1">
        <v>46377</v>
      </c>
      <c r="C196" s="1" t="s">
        <v>50</v>
      </c>
      <c r="D196" t="s">
        <v>884</v>
      </c>
      <c r="E196" t="s">
        <v>885</v>
      </c>
      <c r="F196" t="s">
        <v>886</v>
      </c>
      <c r="G196" t="s">
        <v>66</v>
      </c>
      <c r="H196">
        <v>26</v>
      </c>
      <c r="I196">
        <v>488</v>
      </c>
      <c r="J196">
        <v>0.48</v>
      </c>
      <c r="K196" t="s">
        <v>175</v>
      </c>
      <c r="L196" t="s">
        <v>887</v>
      </c>
      <c r="M196">
        <v>6597.76</v>
      </c>
      <c r="N196" t="s">
        <v>199</v>
      </c>
      <c r="O196" t="s">
        <v>139</v>
      </c>
    </row>
    <row r="197" spans="1:15">
      <c r="A197">
        <v>10196</v>
      </c>
      <c r="B197" s="1">
        <v>46122</v>
      </c>
      <c r="C197" s="1" t="s">
        <v>18</v>
      </c>
      <c r="D197" t="s">
        <v>888</v>
      </c>
      <c r="E197" t="s">
        <v>889</v>
      </c>
      <c r="F197" t="s">
        <v>890</v>
      </c>
      <c r="G197" t="s">
        <v>55</v>
      </c>
      <c r="H197">
        <v>3</v>
      </c>
      <c r="I197">
        <v>265</v>
      </c>
      <c r="J197">
        <v>0.46</v>
      </c>
      <c r="K197" t="s">
        <v>175</v>
      </c>
      <c r="L197" t="s">
        <v>891</v>
      </c>
      <c r="M197">
        <v>429.3</v>
      </c>
      <c r="N197" t="s">
        <v>125</v>
      </c>
      <c r="O197" t="s">
        <v>139</v>
      </c>
    </row>
    <row r="198" spans="1:15">
      <c r="A198">
        <v>10197</v>
      </c>
      <c r="B198" s="1">
        <v>46180</v>
      </c>
      <c r="C198" s="1" t="s">
        <v>26</v>
      </c>
      <c r="D198" t="s">
        <v>892</v>
      </c>
      <c r="E198" t="s">
        <v>893</v>
      </c>
      <c r="F198" t="s">
        <v>894</v>
      </c>
      <c r="G198" t="s">
        <v>895</v>
      </c>
      <c r="H198">
        <v>80</v>
      </c>
      <c r="I198">
        <v>1255</v>
      </c>
      <c r="J198">
        <v>0.31</v>
      </c>
      <c r="K198" t="s">
        <v>83</v>
      </c>
      <c r="L198" t="s">
        <v>896</v>
      </c>
      <c r="M198">
        <v>69276</v>
      </c>
      <c r="N198" t="s">
        <v>92</v>
      </c>
      <c r="O198" t="s">
        <v>86</v>
      </c>
    </row>
    <row r="199" spans="1:15">
      <c r="A199">
        <v>10198</v>
      </c>
      <c r="B199" s="1">
        <v>46046</v>
      </c>
      <c r="C199" s="1" t="s">
        <v>6</v>
      </c>
      <c r="D199" t="s">
        <v>897</v>
      </c>
      <c r="E199" t="s">
        <v>898</v>
      </c>
      <c r="F199" t="s">
        <v>899</v>
      </c>
      <c r="G199" t="s">
        <v>895</v>
      </c>
      <c r="H199">
        <v>25</v>
      </c>
      <c r="I199">
        <v>270</v>
      </c>
      <c r="J199">
        <v>0.26</v>
      </c>
      <c r="K199" t="s">
        <v>97</v>
      </c>
      <c r="L199" t="s">
        <v>900</v>
      </c>
      <c r="M199">
        <v>4995</v>
      </c>
      <c r="N199" t="s">
        <v>107</v>
      </c>
      <c r="O199" t="s">
        <v>86</v>
      </c>
    </row>
    <row r="200" spans="1:15">
      <c r="A200">
        <v>10199</v>
      </c>
      <c r="B200" s="1">
        <v>46319</v>
      </c>
      <c r="C200" s="1" t="s">
        <v>42</v>
      </c>
      <c r="D200" t="s">
        <v>901</v>
      </c>
      <c r="E200" t="s">
        <v>902</v>
      </c>
      <c r="F200" t="s">
        <v>627</v>
      </c>
      <c r="G200" t="s">
        <v>895</v>
      </c>
      <c r="H200">
        <v>85</v>
      </c>
      <c r="I200">
        <v>1298</v>
      </c>
      <c r="J200">
        <v>0.42</v>
      </c>
      <c r="K200" t="s">
        <v>181</v>
      </c>
      <c r="L200" t="s">
        <v>903</v>
      </c>
      <c r="M200">
        <v>63991.400000000009</v>
      </c>
      <c r="N200" t="s">
        <v>177</v>
      </c>
      <c r="O200" t="s">
        <v>139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2026-08-12T14:20:35Z</dcterms:created>
  <dcterms:modified xsi:type="dcterms:W3CDTF">2026-08-12T15:18:27Z</dcterms:modified>
  <cp:category/>
  <cp:contentStatus/>
</cp:coreProperties>
</file>